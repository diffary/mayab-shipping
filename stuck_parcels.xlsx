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ul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.mm.yyyy"/>
    <numFmt numFmtId="165" formatCode="d.m.yyyy"/>
    <numFmt numFmtId="166" formatCode="yyyy-mm-dd h:mm:ss"/>
  </numFmts>
  <fonts count="8">
    <font>
      <name val="Arial"/>
      <color rgb="FF000000"/>
      <sz val="10"/>
      <scheme val="minor"/>
    </font>
    <font>
      <name val="Arial"/>
      <color theme="1"/>
      <scheme val="minor"/>
    </font>
    <font>
      <color rgb="000000FF"/>
    </font>
    <font>
      <b val="1"/>
    </font>
    <font>
      <name val="Arial"/>
      <color rgb="FF000000"/>
    </font>
    <font>
      <name val="Arial"/>
      <color rgb="000000FF"/>
    </font>
    <font>
      <name val="Arial"/>
      <b val="1"/>
    </font>
    <font>
      <name val="Arial"/>
      <color theme="1"/>
    </font>
  </fonts>
  <fills count="3">
    <fill>
      <patternFill/>
    </fill>
    <fill>
      <patternFill patternType="lightGray"/>
    </fill>
    <fill>
      <patternFill patternType="solid">
        <fgColor rgb="00FFFF00"/>
      </patternFill>
    </fill>
  </fills>
  <borders count="1">
    <border/>
  </borders>
  <cellStyleXfs count="1">
    <xf numFmtId="0" fontId="0" fillId="0" borderId="0"/>
  </cellStyleXfs>
  <cellXfs count="1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164" fontId="1" fillId="0" borderId="0" pivotButton="0" quotePrefix="0" xfId="0"/>
    <xf numFmtId="165" fontId="1" fillId="0" borderId="0" pivotButton="0" quotePrefix="0" xfId="0"/>
    <xf numFmtId="0" fontId="0" fillId="0" borderId="0" pivotButton="0" quotePrefix="0" xfId="0"/>
    <xf numFmtId="0" fontId="4" fillId="0" borderId="0" pivotButton="0" quotePrefix="0" xfId="0"/>
    <xf numFmtId="164" fontId="5" fillId="2" borderId="0" pivotButton="0" quotePrefix="0" xfId="0"/>
    <xf numFmtId="0" fontId="5" fillId="2" borderId="0" pivotButton="0" quotePrefix="0" xfId="0"/>
    <xf numFmtId="0" fontId="6" fillId="0" borderId="0" pivotButton="0" quotePrefix="0" xfId="0"/>
    <xf numFmtId="9" fontId="4" fillId="0" borderId="0" pivotButton="0" quotePrefix="0" xfId="0"/>
    <xf numFmtId="164" fontId="4" fillId="0" borderId="0" pivotButton="0" quotePrefix="0" xfId="0"/>
    <xf numFmtId="0" fontId="7" fillId="0" borderId="0" pivotButton="0" quotePrefix="0" xfId="0"/>
    <xf numFmtId="164" fontId="7" fillId="0" borderId="0" pivotButton="0" quotePrefix="0" xfId="0"/>
    <xf numFmtId="165" fontId="7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6" customWidth="1" style="4" min="1" max="1"/>
  </cols>
  <sheetData>
    <row r="1">
      <c r="A1" s="5" t="inlineStr">
        <is>
          <t>today</t>
        </is>
      </c>
      <c r="B1" s="6" t="n">
        <v>46310</v>
      </c>
    </row>
    <row r="2">
      <c r="A2" s="5" t="inlineStr">
        <is>
          <t>idle_days</t>
        </is>
      </c>
      <c r="B2" s="7" t="n">
        <v>7</v>
      </c>
    </row>
    <row r="3">
      <c r="A3" s="5" t="inlineStr">
        <is>
          <t>customs_days</t>
        </is>
      </c>
      <c r="B3" s="7" t="n"/>
    </row>
    <row r="4">
      <c r="A4" s="5" t="n"/>
      <c r="B4" s="5" t="n"/>
    </row>
    <row r="5">
      <c r="A5" s="5" t="inlineStr">
        <is>
          <t>Edit the yellow cells. Leave customs_days empty to switch the customs rule off.</t>
        </is>
      </c>
      <c r="B5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Carrier</t>
        </is>
      </c>
      <c r="B1" s="8" t="inlineStr">
        <is>
          <t>Stuck</t>
        </is>
      </c>
      <c r="C1" s="8" t="inlineStr">
        <is>
          <t>Total</t>
        </is>
      </c>
      <c r="D1" s="8" t="inlineStr">
        <is>
          <t>Share</t>
        </is>
      </c>
    </row>
    <row r="2">
      <c r="A2" s="5" t="inlineStr">
        <is>
          <t>AndesCargo</t>
        </is>
      </c>
      <c r="B2" s="5">
        <f>COUNTIFS(Data!$C$2:$C$1001,A2,Data!$I$2:$I$1001,"?*")</f>
        <v/>
      </c>
      <c r="C2" s="5">
        <f>COUNTIF(Data!$C$2:$C$1001,A2)</f>
        <v/>
      </c>
      <c r="D2" s="9">
        <f>IF(C2=0,0,B2/C2)</f>
        <v/>
      </c>
    </row>
    <row r="3">
      <c r="A3" s="5" t="inlineStr">
        <is>
          <t>SwiftParcel</t>
        </is>
      </c>
      <c r="B3" s="5">
        <f>COUNTIFS(Data!$C$2:$C$1001,A3,Data!$I$2:$I$1001,"?*")</f>
        <v/>
      </c>
      <c r="C3" s="5">
        <f>COUNTIF(Data!$C$2:$C$1001,A3)</f>
        <v/>
      </c>
      <c r="D3" s="9">
        <f>IF(C3=0,0,B3/C3)</f>
        <v/>
      </c>
    </row>
    <row r="4">
      <c r="A4" s="5" t="inlineStr">
        <is>
          <t>PostLink</t>
        </is>
      </c>
      <c r="B4" s="5">
        <f>COUNTIFS(Data!$C$2:$C$1001,A4,Data!$I$2:$I$1001,"?*")</f>
        <v/>
      </c>
      <c r="C4" s="5">
        <f>COUNTIF(Data!$C$2:$C$1001,A4)</f>
        <v/>
      </c>
      <c r="D4" s="9">
        <f>IF(C4=0,0,B4/C4)</f>
        <v/>
      </c>
    </row>
    <row r="5">
      <c r="A5" s="8" t="inlineStr">
        <is>
          <t>Total</t>
        </is>
      </c>
      <c r="B5" s="5">
        <f>SUM(B2:B4)</f>
        <v/>
      </c>
      <c r="C5" s="5">
        <f>SUM(C2:C4)</f>
        <v/>
      </c>
      <c r="D5" s="5" t="n"/>
    </row>
    <row r="6">
      <c r="A6" s="5" t="n"/>
      <c r="B6" s="5" t="n"/>
      <c r="C6" s="5" t="n"/>
      <c r="D6" s="5" t="n"/>
    </row>
    <row r="7">
      <c r="A7" s="5" t="inlineStr">
        <is>
          <t>today:</t>
        </is>
      </c>
      <c r="B7" s="10">
        <f>Rules!B1</f>
        <v/>
      </c>
      <c r="C7" s="5" t="n"/>
      <c r="D7" s="5" t="n"/>
    </row>
    <row r="8">
      <c r="A8" s="5" t="inlineStr">
        <is>
          <t>Stuck list: Data sheet, filter column I not empty, sort by column J.</t>
        </is>
      </c>
      <c r="B8" s="5" t="n"/>
      <c r="C8" s="5" t="n"/>
      <c r="D8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J100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1" t="inlineStr">
        <is>
          <t>Order</t>
        </is>
      </c>
      <c r="B1" s="11" t="inlineStr">
        <is>
          <t>Country</t>
        </is>
      </c>
      <c r="C1" s="11" t="inlineStr">
        <is>
          <t>Carrier</t>
        </is>
      </c>
      <c r="D1" s="11" t="inlineStr">
        <is>
          <t>Tracking</t>
        </is>
      </c>
      <c r="E1" s="11" t="inlineStr">
        <is>
          <t>Ship date</t>
        </is>
      </c>
      <c r="F1" s="11" t="inlineStr">
        <is>
          <t>Last event</t>
        </is>
      </c>
      <c r="G1" s="11" t="inlineStr">
        <is>
          <t>Last event date</t>
        </is>
      </c>
      <c r="H1" s="8" t="inlineStr">
        <is>
          <t>days idle</t>
        </is>
      </c>
      <c r="I1" s="8" t="inlineStr">
        <is>
          <t>reason</t>
        </is>
      </c>
      <c r="J1" s="8" t="inlineStr">
        <is>
          <t>priority</t>
        </is>
      </c>
    </row>
    <row r="2">
      <c r="A2" s="11" t="n">
        <v>100001</v>
      </c>
      <c r="B2" s="11" t="inlineStr">
        <is>
          <t>Канада</t>
        </is>
      </c>
      <c r="C2" s="11" t="inlineStr">
        <is>
          <t>PostLink</t>
        </is>
      </c>
      <c r="D2" s="11" t="inlineStr">
        <is>
          <t>PL47483092</t>
        </is>
      </c>
      <c r="E2" s="12" t="n">
        <v>46285</v>
      </c>
      <c r="F2" s="11" t="inlineStr">
        <is>
          <t>Delivered</t>
        </is>
      </c>
      <c r="G2" s="12" t="n">
        <v>46290</v>
      </c>
      <c r="H2" s="5">
        <f>IF(G2="","",Rules!$B$1-G2)</f>
        <v/>
      </c>
      <c r="I2" s="5">
        <f>IF(F2="Address issue","address issue",IF(OR(F2="Delivered",F2="Returned to sender",G2=""),"",IF(AND(Rules!$B$3&lt;&gt;"",F2="Held at customs",H2&gt;=Rules!$B$3),"customs &gt;= "&amp;Rules!$B$3&amp;" days",IF(H2&gt;=Rules!$B$2,"idle &gt;= "&amp;Rules!$B$2&amp;" days",""))))</f>
        <v/>
      </c>
      <c r="J2" s="5">
        <f>IF(I2="","",IF(F2="Address issue",0,COUNTIF($I$2:$I$1001,"address issue"))+COUNTIFS($I$2:$I$1001,"?*",$F$2:$F$1001,IF(F2="Address issue","Address issue","&lt;&gt;Address issue"),$H$2:$H$1001,"&gt;"&amp;H2)+1)</f>
        <v/>
      </c>
    </row>
    <row r="3">
      <c r="A3" s="11" t="n">
        <v>100002</v>
      </c>
      <c r="B3" s="11" t="inlineStr">
        <is>
          <t>Канада</t>
        </is>
      </c>
      <c r="C3" s="11" t="inlineStr">
        <is>
          <t>PostLink</t>
        </is>
      </c>
      <c r="D3" s="11" t="inlineStr">
        <is>
          <t>PL94699845</t>
        </is>
      </c>
      <c r="E3" s="12" t="n">
        <v>46301</v>
      </c>
      <c r="F3" s="11" t="inlineStr">
        <is>
          <t>In transit</t>
        </is>
      </c>
      <c r="G3" s="13" t="n">
        <v>46307</v>
      </c>
      <c r="H3" s="5">
        <f>IF(G3="","",Rules!$B$1-G3)</f>
        <v/>
      </c>
      <c r="I3" s="5">
        <f>IF(F3="Address issue","address issue",IF(OR(F3="Delivered",F3="Returned to sender",G3=""),"",IF(AND(Rules!$B$3&lt;&gt;"",F3="Held at customs",H3&gt;=Rules!$B$3),"customs &gt;= "&amp;Rules!$B$3&amp;" days",IF(H3&gt;=Rules!$B$2,"idle &gt;= "&amp;Rules!$B$2&amp;" days",""))))</f>
        <v/>
      </c>
      <c r="J3" s="5">
        <f>IF(I3="","",IF(F3="Address issue",0,COUNTIF($I$2:$I$1001,"address issue"))+COUNTIFS($I$2:$I$1001,"?*",$F$2:$F$1001,IF(F3="Address issue","Address issue","&lt;&gt;Address issue"),$H$2:$H$1001,"&gt;"&amp;H3)+1)</f>
        <v/>
      </c>
    </row>
    <row r="4">
      <c r="A4" s="11" t="n">
        <v>100003</v>
      </c>
      <c r="B4" s="11" t="inlineStr">
        <is>
          <t>Мексика</t>
        </is>
      </c>
      <c r="C4" s="11" t="inlineStr">
        <is>
          <t>AndesCargo</t>
        </is>
      </c>
      <c r="D4" s="11" t="inlineStr">
        <is>
          <t>AC42940501</t>
        </is>
      </c>
      <c r="E4" s="12" t="n">
        <v>46284</v>
      </c>
      <c r="F4" s="11" t="inlineStr">
        <is>
          <t>Delivered</t>
        </is>
      </c>
      <c r="G4" s="12" t="n">
        <v>46290</v>
      </c>
      <c r="H4" s="5">
        <f>IF(G4="","",Rules!$B$1-G4)</f>
        <v/>
      </c>
      <c r="I4" s="5">
        <f>IF(F4="Address issue","address issue",IF(OR(F4="Delivered",F4="Returned to sender",G4=""),"",IF(AND(Rules!$B$3&lt;&gt;"",F4="Held at customs",H4&gt;=Rules!$B$3),"customs &gt;= "&amp;Rules!$B$3&amp;" days",IF(H4&gt;=Rules!$B$2,"idle &gt;= "&amp;Rules!$B$2&amp;" days",""))))</f>
        <v/>
      </c>
      <c r="J4" s="5">
        <f>IF(I4="","",IF(F4="Address issue",0,COUNTIF($I$2:$I$1001,"address issue"))+COUNTIFS($I$2:$I$1001,"?*",$F$2:$F$1001,IF(F4="Address issue","Address issue","&lt;&gt;Address issue"),$H$2:$H$1001,"&gt;"&amp;H4)+1)</f>
        <v/>
      </c>
    </row>
    <row r="5">
      <c r="A5" s="11" t="n">
        <v>100004</v>
      </c>
      <c r="B5" s="11" t="inlineStr">
        <is>
          <t>Бразилія</t>
        </is>
      </c>
      <c r="C5" s="11" t="inlineStr">
        <is>
          <t>SwiftParcel</t>
        </is>
      </c>
      <c r="D5" s="11" t="inlineStr">
        <is>
          <t>SP6865562</t>
        </is>
      </c>
      <c r="E5" s="12" t="n">
        <v>46298</v>
      </c>
      <c r="F5" s="11" t="inlineStr">
        <is>
          <t>Address issue</t>
        </is>
      </c>
      <c r="G5" s="12" t="n">
        <v>46301</v>
      </c>
      <c r="H5" s="5">
        <f>IF(G5="","",Rules!$B$1-G5)</f>
        <v/>
      </c>
      <c r="I5" s="5">
        <f>IF(F5="Address issue","address issue",IF(OR(F5="Delivered",F5="Returned to sender",G5=""),"",IF(AND(Rules!$B$3&lt;&gt;"",F5="Held at customs",H5&gt;=Rules!$B$3),"customs &gt;= "&amp;Rules!$B$3&amp;" days",IF(H5&gt;=Rules!$B$2,"idle &gt;= "&amp;Rules!$B$2&amp;" days",""))))</f>
        <v/>
      </c>
      <c r="J5" s="5">
        <f>IF(I5="","",IF(F5="Address issue",0,COUNTIF($I$2:$I$1001,"address issue"))+COUNTIFS($I$2:$I$1001,"?*",$F$2:$F$1001,IF(F5="Address issue","Address issue","&lt;&gt;Address issue"),$H$2:$H$1001,"&gt;"&amp;H5)+1)</f>
        <v/>
      </c>
    </row>
    <row r="6">
      <c r="A6" s="11" t="n">
        <v>100005</v>
      </c>
      <c r="B6" s="11" t="inlineStr">
        <is>
          <t>Мексика</t>
        </is>
      </c>
      <c r="C6" s="11" t="inlineStr">
        <is>
          <t>AndesCargo</t>
        </is>
      </c>
      <c r="D6" s="11" t="inlineStr">
        <is>
          <t>AC83407141</t>
        </is>
      </c>
      <c r="E6" s="12" t="n">
        <v>46304</v>
      </c>
      <c r="F6" s="11" t="inlineStr">
        <is>
          <t>In transit</t>
        </is>
      </c>
      <c r="G6" s="13" t="n">
        <v>46310</v>
      </c>
      <c r="H6" s="5">
        <f>IF(G6="","",Rules!$B$1-G6)</f>
        <v/>
      </c>
      <c r="I6" s="5">
        <f>IF(F6="Address issue","address issue",IF(OR(F6="Delivered",F6="Returned to sender",G6=""),"",IF(AND(Rules!$B$3&lt;&gt;"",F6="Held at customs",H6&gt;=Rules!$B$3),"customs &gt;= "&amp;Rules!$B$3&amp;" days",IF(H6&gt;=Rules!$B$2,"idle &gt;= "&amp;Rules!$B$2&amp;" days",""))))</f>
        <v/>
      </c>
      <c r="J6" s="5">
        <f>IF(I6="","",IF(F6="Address issue",0,COUNTIF($I$2:$I$1001,"address issue"))+COUNTIFS($I$2:$I$1001,"?*",$F$2:$F$1001,IF(F6="Address issue","Address issue","&lt;&gt;Address issue"),$H$2:$H$1001,"&gt;"&amp;H6)+1)</f>
        <v/>
      </c>
    </row>
    <row r="7">
      <c r="A7" s="11" t="n">
        <v>100006</v>
      </c>
      <c r="B7" s="11" t="inlineStr">
        <is>
          <t>Бразилія</t>
        </is>
      </c>
      <c r="C7" s="11" t="inlineStr">
        <is>
          <t>SwiftParcel</t>
        </is>
      </c>
      <c r="D7" s="11" t="inlineStr">
        <is>
          <t>SP8115549</t>
        </is>
      </c>
      <c r="E7" s="12" t="n">
        <v>46271</v>
      </c>
      <c r="F7" s="11" t="inlineStr">
        <is>
          <t>Delivered</t>
        </is>
      </c>
      <c r="G7" s="12" t="n">
        <v>46282</v>
      </c>
      <c r="H7" s="5">
        <f>IF(G7="","",Rules!$B$1-G7)</f>
        <v/>
      </c>
      <c r="I7" s="5">
        <f>IF(F7="Address issue","address issue",IF(OR(F7="Delivered",F7="Returned to sender",G7=""),"",IF(AND(Rules!$B$3&lt;&gt;"",F7="Held at customs",H7&gt;=Rules!$B$3),"customs &gt;= "&amp;Rules!$B$3&amp;" days",IF(H7&gt;=Rules!$B$2,"idle &gt;= "&amp;Rules!$B$2&amp;" days",""))))</f>
        <v/>
      </c>
      <c r="J7" s="5">
        <f>IF(I7="","",IF(F7="Address issue",0,COUNTIF($I$2:$I$1001,"address issue"))+COUNTIFS($I$2:$I$1001,"?*",$F$2:$F$1001,IF(F7="Address issue","Address issue","&lt;&gt;Address issue"),$H$2:$H$1001,"&gt;"&amp;H7)+1)</f>
        <v/>
      </c>
    </row>
    <row r="8">
      <c r="A8" s="11" t="n">
        <v>100007</v>
      </c>
      <c r="B8" s="11" t="inlineStr">
        <is>
          <t>Канада</t>
        </is>
      </c>
      <c r="C8" s="11" t="inlineStr">
        <is>
          <t>PostLink</t>
        </is>
      </c>
      <c r="D8" s="11" t="inlineStr">
        <is>
          <t>PL19701823</t>
        </is>
      </c>
      <c r="E8" s="12" t="n">
        <v>46290</v>
      </c>
      <c r="F8" s="11" t="inlineStr">
        <is>
          <t>Delivered</t>
        </is>
      </c>
      <c r="G8" s="12" t="n">
        <v>46302</v>
      </c>
      <c r="H8" s="5">
        <f>IF(G8="","",Rules!$B$1-G8)</f>
        <v/>
      </c>
      <c r="I8" s="5">
        <f>IF(F8="Address issue","address issue",IF(OR(F8="Delivered",F8="Returned to sender",G8=""),"",IF(AND(Rules!$B$3&lt;&gt;"",F8="Held at customs",H8&gt;=Rules!$B$3),"customs &gt;= "&amp;Rules!$B$3&amp;" days",IF(H8&gt;=Rules!$B$2,"idle &gt;= "&amp;Rules!$B$2&amp;" days",""))))</f>
        <v/>
      </c>
      <c r="J8" s="5">
        <f>IF(I8="","",IF(F8="Address issue",0,COUNTIF($I$2:$I$1001,"address issue"))+COUNTIFS($I$2:$I$1001,"?*",$F$2:$F$1001,IF(F8="Address issue","Address issue","&lt;&gt;Address issue"),$H$2:$H$1001,"&gt;"&amp;H8)+1)</f>
        <v/>
      </c>
    </row>
    <row r="9">
      <c r="A9" s="11" t="n">
        <v>100008</v>
      </c>
      <c r="B9" s="11" t="inlineStr">
        <is>
          <t>Бразилія</t>
        </is>
      </c>
      <c r="C9" s="11" t="inlineStr">
        <is>
          <t>SwiftParcel</t>
        </is>
      </c>
      <c r="D9" s="11" t="inlineStr">
        <is>
          <t>SP1984975</t>
        </is>
      </c>
      <c r="E9" s="13" t="n">
        <v>46306</v>
      </c>
      <c r="F9" s="11" t="inlineStr">
        <is>
          <t>Label created</t>
        </is>
      </c>
      <c r="G9" s="13" t="n">
        <v>46306</v>
      </c>
      <c r="H9" s="5">
        <f>IF(G9="","",Rules!$B$1-G9)</f>
        <v/>
      </c>
      <c r="I9" s="5">
        <f>IF(F9="Address issue","address issue",IF(OR(F9="Delivered",F9="Returned to sender",G9=""),"",IF(AND(Rules!$B$3&lt;&gt;"",F9="Held at customs",H9&gt;=Rules!$B$3),"customs &gt;= "&amp;Rules!$B$3&amp;" days",IF(H9&gt;=Rules!$B$2,"idle &gt;= "&amp;Rules!$B$2&amp;" days",""))))</f>
        <v/>
      </c>
      <c r="J9" s="5">
        <f>IF(I9="","",IF(F9="Address issue",0,COUNTIF($I$2:$I$1001,"address issue"))+COUNTIFS($I$2:$I$1001,"?*",$F$2:$F$1001,IF(F9="Address issue","Address issue","&lt;&gt;Address issue"),$H$2:$H$1001,"&gt;"&amp;H9)+1)</f>
        <v/>
      </c>
    </row>
    <row r="10">
      <c r="A10" s="11" t="n">
        <v>100009</v>
      </c>
      <c r="B10" s="11" t="inlineStr">
        <is>
          <t>Бразилія</t>
        </is>
      </c>
      <c r="C10" s="11" t="inlineStr">
        <is>
          <t>AndesCargo</t>
        </is>
      </c>
      <c r="D10" s="11" t="inlineStr">
        <is>
          <t>AC17088206</t>
        </is>
      </c>
      <c r="E10" s="12" t="n">
        <v>46295</v>
      </c>
      <c r="F10" s="11" t="inlineStr">
        <is>
          <t>Held at customs</t>
        </is>
      </c>
      <c r="G10" s="12" t="n">
        <v>46296</v>
      </c>
      <c r="H10" s="5">
        <f>IF(G10="","",Rules!$B$1-G10)</f>
        <v/>
      </c>
      <c r="I10" s="5">
        <f>IF(F10="Address issue","address issue",IF(OR(F10="Delivered",F10="Returned to sender",G10=""),"",IF(AND(Rules!$B$3&lt;&gt;"",F10="Held at customs",H10&gt;=Rules!$B$3),"customs &gt;= "&amp;Rules!$B$3&amp;" days",IF(H10&gt;=Rules!$B$2,"idle &gt;= "&amp;Rules!$B$2&amp;" days",""))))</f>
        <v/>
      </c>
      <c r="J10" s="5">
        <f>IF(I10="","",IF(F10="Address issue",0,COUNTIF($I$2:$I$1001,"address issue"))+COUNTIFS($I$2:$I$1001,"?*",$F$2:$F$1001,IF(F10="Address issue","Address issue","&lt;&gt;Address issue"),$H$2:$H$1001,"&gt;"&amp;H10)+1)</f>
        <v/>
      </c>
    </row>
    <row r="11">
      <c r="A11" s="11" t="n">
        <v>100010</v>
      </c>
      <c r="B11" s="11" t="inlineStr">
        <is>
          <t>Канада</t>
        </is>
      </c>
      <c r="C11" s="11" t="inlineStr">
        <is>
          <t>PostLink</t>
        </is>
      </c>
      <c r="D11" s="11" t="inlineStr">
        <is>
          <t>PL23325420</t>
        </is>
      </c>
      <c r="E11" s="12" t="n">
        <v>46300</v>
      </c>
      <c r="F11" s="11" t="inlineStr">
        <is>
          <t>Out for delivery</t>
        </is>
      </c>
      <c r="G11" s="13" t="n">
        <v>46306</v>
      </c>
      <c r="H11" s="5">
        <f>IF(G11="","",Rules!$B$1-G11)</f>
        <v/>
      </c>
      <c r="I11" s="5">
        <f>IF(F11="Address issue","address issue",IF(OR(F11="Delivered",F11="Returned to sender",G11=""),"",IF(AND(Rules!$B$3&lt;&gt;"",F11="Held at customs",H11&gt;=Rules!$B$3),"customs &gt;= "&amp;Rules!$B$3&amp;" days",IF(H11&gt;=Rules!$B$2,"idle &gt;= "&amp;Rules!$B$2&amp;" days",""))))</f>
        <v/>
      </c>
      <c r="J11" s="5">
        <f>IF(I11="","",IF(F11="Address issue",0,COUNTIF($I$2:$I$1001,"address issue"))+COUNTIFS($I$2:$I$1001,"?*",$F$2:$F$1001,IF(F11="Address issue","Address issue","&lt;&gt;Address issue"),$H$2:$H$1001,"&gt;"&amp;H11)+1)</f>
        <v/>
      </c>
    </row>
    <row r="12">
      <c r="A12" s="11" t="n">
        <v>100011</v>
      </c>
      <c r="B12" s="11" t="inlineStr">
        <is>
          <t>Бразилія</t>
        </is>
      </c>
      <c r="C12" s="11" t="inlineStr">
        <is>
          <t>AndesCargo</t>
        </is>
      </c>
      <c r="D12" s="11" t="inlineStr">
        <is>
          <t>AC69505399</t>
        </is>
      </c>
      <c r="E12" s="12" t="n">
        <v>46290</v>
      </c>
      <c r="F12" s="11" t="inlineStr">
        <is>
          <t>Delivered</t>
        </is>
      </c>
      <c r="G12" s="12" t="n">
        <v>46293</v>
      </c>
      <c r="H12" s="5">
        <f>IF(G12="","",Rules!$B$1-G12)</f>
        <v/>
      </c>
      <c r="I12" s="5">
        <f>IF(F12="Address issue","address issue",IF(OR(F12="Delivered",F12="Returned to sender",G12=""),"",IF(AND(Rules!$B$3&lt;&gt;"",F12="Held at customs",H12&gt;=Rules!$B$3),"customs &gt;= "&amp;Rules!$B$3&amp;" days",IF(H12&gt;=Rules!$B$2,"idle &gt;= "&amp;Rules!$B$2&amp;" days",""))))</f>
        <v/>
      </c>
      <c r="J12" s="5">
        <f>IF(I12="","",IF(F12="Address issue",0,COUNTIF($I$2:$I$1001,"address issue"))+COUNTIFS($I$2:$I$1001,"?*",$F$2:$F$1001,IF(F12="Address issue","Address issue","&lt;&gt;Address issue"),$H$2:$H$1001,"&gt;"&amp;H12)+1)</f>
        <v/>
      </c>
    </row>
    <row r="13">
      <c r="A13" s="11" t="n">
        <v>100012</v>
      </c>
      <c r="B13" s="11" t="inlineStr">
        <is>
          <t>Бразилія</t>
        </is>
      </c>
      <c r="C13" s="11" t="inlineStr">
        <is>
          <t>SwiftParcel</t>
        </is>
      </c>
      <c r="D13" s="11" t="inlineStr">
        <is>
          <t>SP1413050</t>
        </is>
      </c>
      <c r="E13" s="12" t="n">
        <v>46289</v>
      </c>
      <c r="F13" s="11" t="inlineStr">
        <is>
          <t>Held at customs</t>
        </is>
      </c>
      <c r="G13" s="12" t="n">
        <v>46297</v>
      </c>
      <c r="H13" s="5">
        <f>IF(G13="","",Rules!$B$1-G13)</f>
        <v/>
      </c>
      <c r="I13" s="5">
        <f>IF(F13="Address issue","address issue",IF(OR(F13="Delivered",F13="Returned to sender",G13=""),"",IF(AND(Rules!$B$3&lt;&gt;"",F13="Held at customs",H13&gt;=Rules!$B$3),"customs &gt;= "&amp;Rules!$B$3&amp;" days",IF(H13&gt;=Rules!$B$2,"idle &gt;= "&amp;Rules!$B$2&amp;" days",""))))</f>
        <v/>
      </c>
      <c r="J13" s="5">
        <f>IF(I13="","",IF(F13="Address issue",0,COUNTIF($I$2:$I$1001,"address issue"))+COUNTIFS($I$2:$I$1001,"?*",$F$2:$F$1001,IF(F13="Address issue","Address issue","&lt;&gt;Address issue"),$H$2:$H$1001,"&gt;"&amp;H13)+1)</f>
        <v/>
      </c>
    </row>
    <row r="14">
      <c r="A14" s="11" t="n">
        <v>100013</v>
      </c>
      <c r="B14" s="11" t="inlineStr">
        <is>
          <t>Мексика</t>
        </is>
      </c>
      <c r="C14" s="11" t="inlineStr">
        <is>
          <t>AndesCargo</t>
        </is>
      </c>
      <c r="D14" s="11" t="inlineStr">
        <is>
          <t>AC21513905</t>
        </is>
      </c>
      <c r="E14" s="12" t="n">
        <v>46294</v>
      </c>
      <c r="F14" s="11" t="inlineStr">
        <is>
          <t>Delivered</t>
        </is>
      </c>
      <c r="G14" s="12" t="n">
        <v>46302</v>
      </c>
      <c r="H14" s="5">
        <f>IF(G14="","",Rules!$B$1-G14)</f>
        <v/>
      </c>
      <c r="I14" s="5">
        <f>IF(F14="Address issue","address issue",IF(OR(F14="Delivered",F14="Returned to sender",G14=""),"",IF(AND(Rules!$B$3&lt;&gt;"",F14="Held at customs",H14&gt;=Rules!$B$3),"customs &gt;= "&amp;Rules!$B$3&amp;" days",IF(H14&gt;=Rules!$B$2,"idle &gt;= "&amp;Rules!$B$2&amp;" days",""))))</f>
        <v/>
      </c>
      <c r="J14" s="5">
        <f>IF(I14="","",IF(F14="Address issue",0,COUNTIF($I$2:$I$1001,"address issue"))+COUNTIFS($I$2:$I$1001,"?*",$F$2:$F$1001,IF(F14="Address issue","Address issue","&lt;&gt;Address issue"),$H$2:$H$1001,"&gt;"&amp;H14)+1)</f>
        <v/>
      </c>
    </row>
    <row r="15">
      <c r="A15" s="11" t="n">
        <v>100014</v>
      </c>
      <c r="B15" s="11" t="inlineStr">
        <is>
          <t>Бразилія</t>
        </is>
      </c>
      <c r="C15" s="11" t="inlineStr">
        <is>
          <t>SwiftParcel</t>
        </is>
      </c>
      <c r="D15" s="11" t="inlineStr">
        <is>
          <t>SP6254736</t>
        </is>
      </c>
      <c r="E15" s="12" t="n">
        <v>46304</v>
      </c>
      <c r="F15" s="11" t="inlineStr">
        <is>
          <t>Held at customs</t>
        </is>
      </c>
      <c r="G15" s="13" t="n">
        <v>46309</v>
      </c>
      <c r="H15" s="5">
        <f>IF(G15="","",Rules!$B$1-G15)</f>
        <v/>
      </c>
      <c r="I15" s="5">
        <f>IF(F15="Address issue","address issue",IF(OR(F15="Delivered",F15="Returned to sender",G15=""),"",IF(AND(Rules!$B$3&lt;&gt;"",F15="Held at customs",H15&gt;=Rules!$B$3),"customs &gt;= "&amp;Rules!$B$3&amp;" days",IF(H15&gt;=Rules!$B$2,"idle &gt;= "&amp;Rules!$B$2&amp;" days",""))))</f>
        <v/>
      </c>
      <c r="J15" s="5">
        <f>IF(I15="","",IF(F15="Address issue",0,COUNTIF($I$2:$I$1001,"address issue"))+COUNTIFS($I$2:$I$1001,"?*",$F$2:$F$1001,IF(F15="Address issue","Address issue","&lt;&gt;Address issue"),$H$2:$H$1001,"&gt;"&amp;H15)+1)</f>
        <v/>
      </c>
    </row>
    <row r="16">
      <c r="A16" s="11" t="n">
        <v>100015</v>
      </c>
      <c r="B16" s="11" t="inlineStr">
        <is>
          <t>Канада</t>
        </is>
      </c>
      <c r="C16" s="11" t="inlineStr">
        <is>
          <t>PostLink</t>
        </is>
      </c>
      <c r="D16" s="11" t="inlineStr">
        <is>
          <t>PL50767893</t>
        </is>
      </c>
      <c r="E16" s="12" t="n">
        <v>46294</v>
      </c>
      <c r="F16" s="11" t="inlineStr">
        <is>
          <t>Delivered</t>
        </is>
      </c>
      <c r="G16" s="12" t="n">
        <v>46298</v>
      </c>
      <c r="H16" s="5">
        <f>IF(G16="","",Rules!$B$1-G16)</f>
        <v/>
      </c>
      <c r="I16" s="5">
        <f>IF(F16="Address issue","address issue",IF(OR(F16="Delivered",F16="Returned to sender",G16=""),"",IF(AND(Rules!$B$3&lt;&gt;"",F16="Held at customs",H16&gt;=Rules!$B$3),"customs &gt;= "&amp;Rules!$B$3&amp;" days",IF(H16&gt;=Rules!$B$2,"idle &gt;= "&amp;Rules!$B$2&amp;" days",""))))</f>
        <v/>
      </c>
      <c r="J16" s="5">
        <f>IF(I16="","",IF(F16="Address issue",0,COUNTIF($I$2:$I$1001,"address issue"))+COUNTIFS($I$2:$I$1001,"?*",$F$2:$F$1001,IF(F16="Address issue","Address issue","&lt;&gt;Address issue"),$H$2:$H$1001,"&gt;"&amp;H16)+1)</f>
        <v/>
      </c>
    </row>
    <row r="17">
      <c r="A17" s="11" t="n">
        <v>100016</v>
      </c>
      <c r="B17" s="11" t="inlineStr">
        <is>
          <t>Канада</t>
        </is>
      </c>
      <c r="C17" s="11" t="inlineStr">
        <is>
          <t>PostLink</t>
        </is>
      </c>
      <c r="D17" s="11" t="inlineStr">
        <is>
          <t>PL55454623</t>
        </is>
      </c>
      <c r="E17" s="12" t="n">
        <v>46303</v>
      </c>
      <c r="F17" s="11" t="inlineStr">
        <is>
          <t>In transit</t>
        </is>
      </c>
      <c r="G17" s="13" t="n">
        <v>46309</v>
      </c>
      <c r="H17" s="5">
        <f>IF(G17="","",Rules!$B$1-G17)</f>
        <v/>
      </c>
      <c r="I17" s="5">
        <f>IF(F17="Address issue","address issue",IF(OR(F17="Delivered",F17="Returned to sender",G17=""),"",IF(AND(Rules!$B$3&lt;&gt;"",F17="Held at customs",H17&gt;=Rules!$B$3),"customs &gt;= "&amp;Rules!$B$3&amp;" days",IF(H17&gt;=Rules!$B$2,"idle &gt;= "&amp;Rules!$B$2&amp;" days",""))))</f>
        <v/>
      </c>
      <c r="J17" s="5">
        <f>IF(I17="","",IF(F17="Address issue",0,COUNTIF($I$2:$I$1001,"address issue"))+COUNTIFS($I$2:$I$1001,"?*",$F$2:$F$1001,IF(F17="Address issue","Address issue","&lt;&gt;Address issue"),$H$2:$H$1001,"&gt;"&amp;H17)+1)</f>
        <v/>
      </c>
    </row>
    <row r="18">
      <c r="A18" s="11" t="n">
        <v>100017</v>
      </c>
      <c r="B18" s="11" t="inlineStr">
        <is>
          <t>Бразилія</t>
        </is>
      </c>
      <c r="C18" s="11" t="inlineStr">
        <is>
          <t>SwiftParcel</t>
        </is>
      </c>
      <c r="D18" s="11" t="inlineStr">
        <is>
          <t>SP9072398</t>
        </is>
      </c>
      <c r="E18" s="12" t="n">
        <v>46270</v>
      </c>
      <c r="F18" s="11" t="inlineStr">
        <is>
          <t>Delivered</t>
        </is>
      </c>
      <c r="G18" s="12" t="n">
        <v>46282</v>
      </c>
      <c r="H18" s="5">
        <f>IF(G18="","",Rules!$B$1-G18)</f>
        <v/>
      </c>
      <c r="I18" s="5">
        <f>IF(F18="Address issue","address issue",IF(OR(F18="Delivered",F18="Returned to sender",G18=""),"",IF(AND(Rules!$B$3&lt;&gt;"",F18="Held at customs",H18&gt;=Rules!$B$3),"customs &gt;= "&amp;Rules!$B$3&amp;" days",IF(H18&gt;=Rules!$B$2,"idle &gt;= "&amp;Rules!$B$2&amp;" days",""))))</f>
        <v/>
      </c>
      <c r="J18" s="5">
        <f>IF(I18="","",IF(F18="Address issue",0,COUNTIF($I$2:$I$1001,"address issue"))+COUNTIFS($I$2:$I$1001,"?*",$F$2:$F$1001,IF(F18="Address issue","Address issue","&lt;&gt;Address issue"),$H$2:$H$1001,"&gt;"&amp;H18)+1)</f>
        <v/>
      </c>
    </row>
    <row r="19">
      <c r="A19" s="11" t="n">
        <v>100018</v>
      </c>
      <c r="B19" s="11" t="inlineStr">
        <is>
          <t>Мексика</t>
        </is>
      </c>
      <c r="C19" s="11" t="inlineStr">
        <is>
          <t>AndesCargo</t>
        </is>
      </c>
      <c r="D19" s="11" t="inlineStr">
        <is>
          <t>AC49101098</t>
        </is>
      </c>
      <c r="E19" s="13" t="n">
        <v>46305</v>
      </c>
      <c r="F19" s="11" t="inlineStr">
        <is>
          <t>In transit</t>
        </is>
      </c>
      <c r="G19" s="13" t="n">
        <v>46306</v>
      </c>
      <c r="H19" s="5">
        <f>IF(G19="","",Rules!$B$1-G19)</f>
        <v/>
      </c>
      <c r="I19" s="5">
        <f>IF(F19="Address issue","address issue",IF(OR(F19="Delivered",F19="Returned to sender",G19=""),"",IF(AND(Rules!$B$3&lt;&gt;"",F19="Held at customs",H19&gt;=Rules!$B$3),"customs &gt;= "&amp;Rules!$B$3&amp;" days",IF(H19&gt;=Rules!$B$2,"idle &gt;= "&amp;Rules!$B$2&amp;" days",""))))</f>
        <v/>
      </c>
      <c r="J19" s="5">
        <f>IF(I19="","",IF(F19="Address issue",0,COUNTIF($I$2:$I$1001,"address issue"))+COUNTIFS($I$2:$I$1001,"?*",$F$2:$F$1001,IF(F19="Address issue","Address issue","&lt;&gt;Address issue"),$H$2:$H$1001,"&gt;"&amp;H19)+1)</f>
        <v/>
      </c>
    </row>
    <row r="20">
      <c r="A20" s="11" t="n">
        <v>100019</v>
      </c>
      <c r="B20" s="11" t="inlineStr">
        <is>
          <t>Канада</t>
        </is>
      </c>
      <c r="C20" s="11" t="inlineStr">
        <is>
          <t>PostLink</t>
        </is>
      </c>
      <c r="D20" s="11" t="inlineStr">
        <is>
          <t>PL53516123</t>
        </is>
      </c>
      <c r="E20" s="12" t="n">
        <v>46287</v>
      </c>
      <c r="F20" s="11" t="inlineStr">
        <is>
          <t>Delivered</t>
        </is>
      </c>
      <c r="G20" s="12" t="n">
        <v>46298</v>
      </c>
      <c r="H20" s="5">
        <f>IF(G20="","",Rules!$B$1-G20)</f>
        <v/>
      </c>
      <c r="I20" s="5">
        <f>IF(F20="Address issue","address issue",IF(OR(F20="Delivered",F20="Returned to sender",G20=""),"",IF(AND(Rules!$B$3&lt;&gt;"",F20="Held at customs",H20&gt;=Rules!$B$3),"customs &gt;= "&amp;Rules!$B$3&amp;" days",IF(H20&gt;=Rules!$B$2,"idle &gt;= "&amp;Rules!$B$2&amp;" days",""))))</f>
        <v/>
      </c>
      <c r="J20" s="5">
        <f>IF(I20="","",IF(F20="Address issue",0,COUNTIF($I$2:$I$1001,"address issue"))+COUNTIFS($I$2:$I$1001,"?*",$F$2:$F$1001,IF(F20="Address issue","Address issue","&lt;&gt;Address issue"),$H$2:$H$1001,"&gt;"&amp;H20)+1)</f>
        <v/>
      </c>
    </row>
    <row r="21">
      <c r="A21" s="11" t="n">
        <v>100020</v>
      </c>
      <c r="B21" s="11" t="inlineStr">
        <is>
          <t>Канада</t>
        </is>
      </c>
      <c r="C21" s="11" t="inlineStr">
        <is>
          <t>PostLink</t>
        </is>
      </c>
      <c r="D21" s="11" t="inlineStr">
        <is>
          <t>PL15848486</t>
        </is>
      </c>
      <c r="E21" s="12" t="n">
        <v>46288</v>
      </c>
      <c r="F21" s="11" t="inlineStr">
        <is>
          <t>Delivered</t>
        </is>
      </c>
      <c r="G21" s="12" t="n">
        <v>46292</v>
      </c>
      <c r="H21" s="5">
        <f>IF(G21="","",Rules!$B$1-G21)</f>
        <v/>
      </c>
      <c r="I21" s="5">
        <f>IF(F21="Address issue","address issue",IF(OR(F21="Delivered",F21="Returned to sender",G21=""),"",IF(AND(Rules!$B$3&lt;&gt;"",F21="Held at customs",H21&gt;=Rules!$B$3),"customs &gt;= "&amp;Rules!$B$3&amp;" days",IF(H21&gt;=Rules!$B$2,"idle &gt;= "&amp;Rules!$B$2&amp;" days",""))))</f>
        <v/>
      </c>
      <c r="J21" s="5">
        <f>IF(I21="","",IF(F21="Address issue",0,COUNTIF($I$2:$I$1001,"address issue"))+COUNTIFS($I$2:$I$1001,"?*",$F$2:$F$1001,IF(F21="Address issue","Address issue","&lt;&gt;Address issue"),$H$2:$H$1001,"&gt;"&amp;H21)+1)</f>
        <v/>
      </c>
    </row>
    <row r="22">
      <c r="A22" s="11" t="n">
        <v>100021</v>
      </c>
      <c r="B22" s="11" t="inlineStr">
        <is>
          <t>Канада</t>
        </is>
      </c>
      <c r="C22" s="11" t="inlineStr">
        <is>
          <t>PostLink</t>
        </is>
      </c>
      <c r="D22" s="11" t="inlineStr">
        <is>
          <t>PL52788518</t>
        </is>
      </c>
      <c r="E22" s="12" t="n">
        <v>46302</v>
      </c>
      <c r="F22" s="11" t="inlineStr">
        <is>
          <t>In transit</t>
        </is>
      </c>
      <c r="G22" s="13" t="n">
        <v>46307</v>
      </c>
      <c r="H22" s="5">
        <f>IF(G22="","",Rules!$B$1-G22)</f>
        <v/>
      </c>
      <c r="I22" s="5">
        <f>IF(F22="Address issue","address issue",IF(OR(F22="Delivered",F22="Returned to sender",G22=""),"",IF(AND(Rules!$B$3&lt;&gt;"",F22="Held at customs",H22&gt;=Rules!$B$3),"customs &gt;= "&amp;Rules!$B$3&amp;" days",IF(H22&gt;=Rules!$B$2,"idle &gt;= "&amp;Rules!$B$2&amp;" days",""))))</f>
        <v/>
      </c>
      <c r="J22" s="5">
        <f>IF(I22="","",IF(F22="Address issue",0,COUNTIF($I$2:$I$1001,"address issue"))+COUNTIFS($I$2:$I$1001,"?*",$F$2:$F$1001,IF(F22="Address issue","Address issue","&lt;&gt;Address issue"),$H$2:$H$1001,"&gt;"&amp;H22)+1)</f>
        <v/>
      </c>
    </row>
    <row r="23">
      <c r="A23" s="11" t="n">
        <v>100022</v>
      </c>
      <c r="B23" s="11" t="inlineStr">
        <is>
          <t>Бразилія</t>
        </is>
      </c>
      <c r="C23" s="11" t="inlineStr">
        <is>
          <t>SwiftParcel</t>
        </is>
      </c>
      <c r="D23" s="11" t="inlineStr">
        <is>
          <t>SP9406339</t>
        </is>
      </c>
      <c r="E23" s="12" t="n">
        <v>46276</v>
      </c>
      <c r="F23" s="11" t="inlineStr">
        <is>
          <t>Delivered</t>
        </is>
      </c>
      <c r="G23" s="12" t="n">
        <v>46287</v>
      </c>
      <c r="H23" s="5">
        <f>IF(G23="","",Rules!$B$1-G23)</f>
        <v/>
      </c>
      <c r="I23" s="5">
        <f>IF(F23="Address issue","address issue",IF(OR(F23="Delivered",F23="Returned to sender",G23=""),"",IF(AND(Rules!$B$3&lt;&gt;"",F23="Held at customs",H23&gt;=Rules!$B$3),"customs &gt;= "&amp;Rules!$B$3&amp;" days",IF(H23&gt;=Rules!$B$2,"idle &gt;= "&amp;Rules!$B$2&amp;" days",""))))</f>
        <v/>
      </c>
      <c r="J23" s="5">
        <f>IF(I23="","",IF(F23="Address issue",0,COUNTIF($I$2:$I$1001,"address issue"))+COUNTIFS($I$2:$I$1001,"?*",$F$2:$F$1001,IF(F23="Address issue","Address issue","&lt;&gt;Address issue"),$H$2:$H$1001,"&gt;"&amp;H23)+1)</f>
        <v/>
      </c>
    </row>
    <row r="24">
      <c r="A24" s="11" t="n">
        <v>100023</v>
      </c>
      <c r="B24" s="11" t="inlineStr">
        <is>
          <t>Мексика</t>
        </is>
      </c>
      <c r="C24" s="11" t="inlineStr">
        <is>
          <t>AndesCargo</t>
        </is>
      </c>
      <c r="D24" s="11" t="inlineStr">
        <is>
          <t>AC53964956</t>
        </is>
      </c>
      <c r="E24" s="12" t="n">
        <v>46292</v>
      </c>
      <c r="F24" s="11" t="inlineStr">
        <is>
          <t>Delivered</t>
        </is>
      </c>
      <c r="G24" s="12" t="n">
        <v>46300</v>
      </c>
      <c r="H24" s="5">
        <f>IF(G24="","",Rules!$B$1-G24)</f>
        <v/>
      </c>
      <c r="I24" s="5">
        <f>IF(F24="Address issue","address issue",IF(OR(F24="Delivered",F24="Returned to sender",G24=""),"",IF(AND(Rules!$B$3&lt;&gt;"",F24="Held at customs",H24&gt;=Rules!$B$3),"customs &gt;= "&amp;Rules!$B$3&amp;" days",IF(H24&gt;=Rules!$B$2,"idle &gt;= "&amp;Rules!$B$2&amp;" days",""))))</f>
        <v/>
      </c>
      <c r="J24" s="5">
        <f>IF(I24="","",IF(F24="Address issue",0,COUNTIF($I$2:$I$1001,"address issue"))+COUNTIFS($I$2:$I$1001,"?*",$F$2:$F$1001,IF(F24="Address issue","Address issue","&lt;&gt;Address issue"),$H$2:$H$1001,"&gt;"&amp;H24)+1)</f>
        <v/>
      </c>
    </row>
    <row r="25">
      <c r="A25" s="11" t="n">
        <v>100024</v>
      </c>
      <c r="B25" s="11" t="inlineStr">
        <is>
          <t>Канада</t>
        </is>
      </c>
      <c r="C25" s="11" t="inlineStr">
        <is>
          <t>PostLink</t>
        </is>
      </c>
      <c r="D25" s="11" t="inlineStr">
        <is>
          <t>PL70953926</t>
        </is>
      </c>
      <c r="E25" s="12" t="n">
        <v>46292</v>
      </c>
      <c r="F25" s="11" t="inlineStr">
        <is>
          <t>Delivered</t>
        </is>
      </c>
      <c r="G25" s="12" t="n">
        <v>46302</v>
      </c>
      <c r="H25" s="5">
        <f>IF(G25="","",Rules!$B$1-G25)</f>
        <v/>
      </c>
      <c r="I25" s="5">
        <f>IF(F25="Address issue","address issue",IF(OR(F25="Delivered",F25="Returned to sender",G25=""),"",IF(AND(Rules!$B$3&lt;&gt;"",F25="Held at customs",H25&gt;=Rules!$B$3),"customs &gt;= "&amp;Rules!$B$3&amp;" days",IF(H25&gt;=Rules!$B$2,"idle &gt;= "&amp;Rules!$B$2&amp;" days",""))))</f>
        <v/>
      </c>
      <c r="J25" s="5">
        <f>IF(I25="","",IF(F25="Address issue",0,COUNTIF($I$2:$I$1001,"address issue"))+COUNTIFS($I$2:$I$1001,"?*",$F$2:$F$1001,IF(F25="Address issue","Address issue","&lt;&gt;Address issue"),$H$2:$H$1001,"&gt;"&amp;H25)+1)</f>
        <v/>
      </c>
    </row>
    <row r="26">
      <c r="A26" s="11" t="n">
        <v>100025</v>
      </c>
      <c r="B26" s="11" t="inlineStr">
        <is>
          <t>Канада</t>
        </is>
      </c>
      <c r="C26" s="11" t="inlineStr">
        <is>
          <t>PostLink</t>
        </is>
      </c>
      <c r="D26" s="11" t="inlineStr">
        <is>
          <t>PL87707694</t>
        </is>
      </c>
      <c r="E26" s="12" t="n">
        <v>46302</v>
      </c>
      <c r="F26" s="11" t="inlineStr">
        <is>
          <t>Out for delivery</t>
        </is>
      </c>
      <c r="G26" s="12" t="n">
        <v>46304</v>
      </c>
      <c r="H26" s="5">
        <f>IF(G26="","",Rules!$B$1-G26)</f>
        <v/>
      </c>
      <c r="I26" s="5">
        <f>IF(F26="Address issue","address issue",IF(OR(F26="Delivered",F26="Returned to sender",G26=""),"",IF(AND(Rules!$B$3&lt;&gt;"",F26="Held at customs",H26&gt;=Rules!$B$3),"customs &gt;= "&amp;Rules!$B$3&amp;" days",IF(H26&gt;=Rules!$B$2,"idle &gt;= "&amp;Rules!$B$2&amp;" days",""))))</f>
        <v/>
      </c>
      <c r="J26" s="5">
        <f>IF(I26="","",IF(F26="Address issue",0,COUNTIF($I$2:$I$1001,"address issue"))+COUNTIFS($I$2:$I$1001,"?*",$F$2:$F$1001,IF(F26="Address issue","Address issue","&lt;&gt;Address issue"),$H$2:$H$1001,"&gt;"&amp;H26)+1)</f>
        <v/>
      </c>
    </row>
    <row r="27">
      <c r="A27" s="11" t="n">
        <v>100026</v>
      </c>
      <c r="B27" s="11" t="inlineStr">
        <is>
          <t>Канада</t>
        </is>
      </c>
      <c r="C27" s="11" t="inlineStr">
        <is>
          <t>PostLink</t>
        </is>
      </c>
      <c r="D27" s="11" t="inlineStr">
        <is>
          <t>PL87256262</t>
        </is>
      </c>
      <c r="E27" s="12" t="n">
        <v>46284</v>
      </c>
      <c r="F27" s="11" t="inlineStr">
        <is>
          <t>Delivered</t>
        </is>
      </c>
      <c r="G27" s="12" t="n">
        <v>46294</v>
      </c>
      <c r="H27" s="5">
        <f>IF(G27="","",Rules!$B$1-G27)</f>
        <v/>
      </c>
      <c r="I27" s="5">
        <f>IF(F27="Address issue","address issue",IF(OR(F27="Delivered",F27="Returned to sender",G27=""),"",IF(AND(Rules!$B$3&lt;&gt;"",F27="Held at customs",H27&gt;=Rules!$B$3),"customs &gt;= "&amp;Rules!$B$3&amp;" days",IF(H27&gt;=Rules!$B$2,"idle &gt;= "&amp;Rules!$B$2&amp;" days",""))))</f>
        <v/>
      </c>
      <c r="J27" s="5">
        <f>IF(I27="","",IF(F27="Address issue",0,COUNTIF($I$2:$I$1001,"address issue"))+COUNTIFS($I$2:$I$1001,"?*",$F$2:$F$1001,IF(F27="Address issue","Address issue","&lt;&gt;Address issue"),$H$2:$H$1001,"&gt;"&amp;H27)+1)</f>
        <v/>
      </c>
    </row>
    <row r="28">
      <c r="A28" s="11" t="n">
        <v>100027</v>
      </c>
      <c r="B28" s="11" t="inlineStr">
        <is>
          <t>Бразилія</t>
        </is>
      </c>
      <c r="C28" s="11" t="inlineStr">
        <is>
          <t>AndesCargo</t>
        </is>
      </c>
      <c r="D28" s="11" t="inlineStr">
        <is>
          <t>AC55452681</t>
        </is>
      </c>
      <c r="E28" s="12" t="n">
        <v>46291</v>
      </c>
      <c r="F28" s="11" t="inlineStr">
        <is>
          <t>Delivered</t>
        </is>
      </c>
      <c r="G28" s="12" t="n">
        <v>46303</v>
      </c>
      <c r="H28" s="5">
        <f>IF(G28="","",Rules!$B$1-G28)</f>
        <v/>
      </c>
      <c r="I28" s="5">
        <f>IF(F28="Address issue","address issue",IF(OR(F28="Delivered",F28="Returned to sender",G28=""),"",IF(AND(Rules!$B$3&lt;&gt;"",F28="Held at customs",H28&gt;=Rules!$B$3),"customs &gt;= "&amp;Rules!$B$3&amp;" days",IF(H28&gt;=Rules!$B$2,"idle &gt;= "&amp;Rules!$B$2&amp;" days",""))))</f>
        <v/>
      </c>
      <c r="J28" s="5">
        <f>IF(I28="","",IF(F28="Address issue",0,COUNTIF($I$2:$I$1001,"address issue"))+COUNTIFS($I$2:$I$1001,"?*",$F$2:$F$1001,IF(F28="Address issue","Address issue","&lt;&gt;Address issue"),$H$2:$H$1001,"&gt;"&amp;H28)+1)</f>
        <v/>
      </c>
    </row>
    <row r="29">
      <c r="A29" s="11" t="n">
        <v>100028</v>
      </c>
      <c r="B29" s="11" t="inlineStr">
        <is>
          <t>Мексика</t>
        </is>
      </c>
      <c r="C29" s="11" t="inlineStr">
        <is>
          <t>AndesCargo</t>
        </is>
      </c>
      <c r="D29" s="11" t="inlineStr">
        <is>
          <t>AC64032649</t>
        </is>
      </c>
      <c r="E29" s="12" t="n">
        <v>46294</v>
      </c>
      <c r="F29" s="11" t="inlineStr">
        <is>
          <t>Address issue</t>
        </is>
      </c>
      <c r="G29" s="12" t="n">
        <v>46300</v>
      </c>
      <c r="H29" s="5">
        <f>IF(G29="","",Rules!$B$1-G29)</f>
        <v/>
      </c>
      <c r="I29" s="5">
        <f>IF(F29="Address issue","address issue",IF(OR(F29="Delivered",F29="Returned to sender",G29=""),"",IF(AND(Rules!$B$3&lt;&gt;"",F29="Held at customs",H29&gt;=Rules!$B$3),"customs &gt;= "&amp;Rules!$B$3&amp;" days",IF(H29&gt;=Rules!$B$2,"idle &gt;= "&amp;Rules!$B$2&amp;" days",""))))</f>
        <v/>
      </c>
      <c r="J29" s="5">
        <f>IF(I29="","",IF(F29="Address issue",0,COUNTIF($I$2:$I$1001,"address issue"))+COUNTIFS($I$2:$I$1001,"?*",$F$2:$F$1001,IF(F29="Address issue","Address issue","&lt;&gt;Address issue"),$H$2:$H$1001,"&gt;"&amp;H29)+1)</f>
        <v/>
      </c>
    </row>
    <row r="30">
      <c r="A30" s="11" t="n">
        <v>100029</v>
      </c>
      <c r="B30" s="11" t="inlineStr">
        <is>
          <t>Бразилія</t>
        </is>
      </c>
      <c r="C30" s="11" t="inlineStr">
        <is>
          <t>SwiftParcel</t>
        </is>
      </c>
      <c r="D30" s="11" t="inlineStr">
        <is>
          <t>SP1487752</t>
        </is>
      </c>
      <c r="E30" s="12" t="n">
        <v>46303</v>
      </c>
      <c r="F30" s="11" t="inlineStr">
        <is>
          <t>In transit</t>
        </is>
      </c>
      <c r="G30" s="13" t="n">
        <v>46306</v>
      </c>
      <c r="H30" s="5">
        <f>IF(G30="","",Rules!$B$1-G30)</f>
        <v/>
      </c>
      <c r="I30" s="5">
        <f>IF(F30="Address issue","address issue",IF(OR(F30="Delivered",F30="Returned to sender",G30=""),"",IF(AND(Rules!$B$3&lt;&gt;"",F30="Held at customs",H30&gt;=Rules!$B$3),"customs &gt;= "&amp;Rules!$B$3&amp;" days",IF(H30&gt;=Rules!$B$2,"idle &gt;= "&amp;Rules!$B$2&amp;" days",""))))</f>
        <v/>
      </c>
      <c r="J30" s="5">
        <f>IF(I30="","",IF(F30="Address issue",0,COUNTIF($I$2:$I$1001,"address issue"))+COUNTIFS($I$2:$I$1001,"?*",$F$2:$F$1001,IF(F30="Address issue","Address issue","&lt;&gt;Address issue"),$H$2:$H$1001,"&gt;"&amp;H30)+1)</f>
        <v/>
      </c>
    </row>
    <row r="31">
      <c r="A31" s="11" t="n">
        <v>100030</v>
      </c>
      <c r="B31" s="11" t="inlineStr">
        <is>
          <t>Канада</t>
        </is>
      </c>
      <c r="C31" s="11" t="inlineStr">
        <is>
          <t>PostLink</t>
        </is>
      </c>
      <c r="D31" s="11" t="inlineStr">
        <is>
          <t>PL65178090</t>
        </is>
      </c>
      <c r="E31" s="13" t="n">
        <v>46307</v>
      </c>
      <c r="F31" s="11" t="inlineStr">
        <is>
          <t>In transit</t>
        </is>
      </c>
      <c r="G31" s="13" t="n">
        <v>46310</v>
      </c>
      <c r="H31" s="5">
        <f>IF(G31="","",Rules!$B$1-G31)</f>
        <v/>
      </c>
      <c r="I31" s="5">
        <f>IF(F31="Address issue","address issue",IF(OR(F31="Delivered",F31="Returned to sender",G31=""),"",IF(AND(Rules!$B$3&lt;&gt;"",F31="Held at customs",H31&gt;=Rules!$B$3),"customs &gt;= "&amp;Rules!$B$3&amp;" days",IF(H31&gt;=Rules!$B$2,"idle &gt;= "&amp;Rules!$B$2&amp;" days",""))))</f>
        <v/>
      </c>
      <c r="J31" s="5">
        <f>IF(I31="","",IF(F31="Address issue",0,COUNTIF($I$2:$I$1001,"address issue"))+COUNTIFS($I$2:$I$1001,"?*",$F$2:$F$1001,IF(F31="Address issue","Address issue","&lt;&gt;Address issue"),$H$2:$H$1001,"&gt;"&amp;H31)+1)</f>
        <v/>
      </c>
    </row>
    <row r="32">
      <c r="A32" s="11" t="n">
        <v>100031</v>
      </c>
      <c r="B32" s="11" t="inlineStr">
        <is>
          <t>Бразилія</t>
        </is>
      </c>
      <c r="C32" s="11" t="inlineStr">
        <is>
          <t>AndesCargo</t>
        </is>
      </c>
      <c r="D32" s="11" t="inlineStr">
        <is>
          <t>AC24352921</t>
        </is>
      </c>
      <c r="E32" s="12" t="n">
        <v>46301</v>
      </c>
      <c r="F32" s="11" t="inlineStr">
        <is>
          <t>In transit</t>
        </is>
      </c>
      <c r="G32" s="13" t="n">
        <v>46306</v>
      </c>
      <c r="H32" s="5">
        <f>IF(G32="","",Rules!$B$1-G32)</f>
        <v/>
      </c>
      <c r="I32" s="5">
        <f>IF(F32="Address issue","address issue",IF(OR(F32="Delivered",F32="Returned to sender",G32=""),"",IF(AND(Rules!$B$3&lt;&gt;"",F32="Held at customs",H32&gt;=Rules!$B$3),"customs &gt;= "&amp;Rules!$B$3&amp;" days",IF(H32&gt;=Rules!$B$2,"idle &gt;= "&amp;Rules!$B$2&amp;" days",""))))</f>
        <v/>
      </c>
      <c r="J32" s="5">
        <f>IF(I32="","",IF(F32="Address issue",0,COUNTIF($I$2:$I$1001,"address issue"))+COUNTIFS($I$2:$I$1001,"?*",$F$2:$F$1001,IF(F32="Address issue","Address issue","&lt;&gt;Address issue"),$H$2:$H$1001,"&gt;"&amp;H32)+1)</f>
        <v/>
      </c>
    </row>
    <row r="33">
      <c r="A33" s="11" t="n">
        <v>100032</v>
      </c>
      <c r="B33" s="11" t="inlineStr">
        <is>
          <t>Мексика</t>
        </is>
      </c>
      <c r="C33" s="11" t="inlineStr">
        <is>
          <t>AndesCargo</t>
        </is>
      </c>
      <c r="D33" s="11" t="inlineStr">
        <is>
          <t>AC96037885</t>
        </is>
      </c>
      <c r="E33" s="12" t="n">
        <v>46281</v>
      </c>
      <c r="F33" s="11" t="inlineStr">
        <is>
          <t>Delivered</t>
        </is>
      </c>
      <c r="G33" s="12" t="n">
        <v>46292</v>
      </c>
      <c r="H33" s="5">
        <f>IF(G33="","",Rules!$B$1-G33)</f>
        <v/>
      </c>
      <c r="I33" s="5">
        <f>IF(F33="Address issue","address issue",IF(OR(F33="Delivered",F33="Returned to sender",G33=""),"",IF(AND(Rules!$B$3&lt;&gt;"",F33="Held at customs",H33&gt;=Rules!$B$3),"customs &gt;= "&amp;Rules!$B$3&amp;" days",IF(H33&gt;=Rules!$B$2,"idle &gt;= "&amp;Rules!$B$2&amp;" days",""))))</f>
        <v/>
      </c>
      <c r="J33" s="5">
        <f>IF(I33="","",IF(F33="Address issue",0,COUNTIF($I$2:$I$1001,"address issue"))+COUNTIFS($I$2:$I$1001,"?*",$F$2:$F$1001,IF(F33="Address issue","Address issue","&lt;&gt;Address issue"),$H$2:$H$1001,"&gt;"&amp;H33)+1)</f>
        <v/>
      </c>
    </row>
    <row r="34">
      <c r="A34" s="11" t="n">
        <v>100033</v>
      </c>
      <c r="B34" s="11" t="inlineStr">
        <is>
          <t>Канада</t>
        </is>
      </c>
      <c r="C34" s="11" t="inlineStr">
        <is>
          <t>PostLink</t>
        </is>
      </c>
      <c r="D34" s="11" t="inlineStr">
        <is>
          <t>PL96334071</t>
        </is>
      </c>
      <c r="E34" s="12" t="n">
        <v>46277</v>
      </c>
      <c r="F34" s="11" t="inlineStr">
        <is>
          <t>Delivered</t>
        </is>
      </c>
      <c r="G34" s="12" t="n">
        <v>46283</v>
      </c>
      <c r="H34" s="5">
        <f>IF(G34="","",Rules!$B$1-G34)</f>
        <v/>
      </c>
      <c r="I34" s="5">
        <f>IF(F34="Address issue","address issue",IF(OR(F34="Delivered",F34="Returned to sender",G34=""),"",IF(AND(Rules!$B$3&lt;&gt;"",F34="Held at customs",H34&gt;=Rules!$B$3),"customs &gt;= "&amp;Rules!$B$3&amp;" days",IF(H34&gt;=Rules!$B$2,"idle &gt;= "&amp;Rules!$B$2&amp;" days",""))))</f>
        <v/>
      </c>
      <c r="J34" s="5">
        <f>IF(I34="","",IF(F34="Address issue",0,COUNTIF($I$2:$I$1001,"address issue"))+COUNTIFS($I$2:$I$1001,"?*",$F$2:$F$1001,IF(F34="Address issue","Address issue","&lt;&gt;Address issue"),$H$2:$H$1001,"&gt;"&amp;H34)+1)</f>
        <v/>
      </c>
    </row>
    <row r="35">
      <c r="A35" s="11" t="n">
        <v>100034</v>
      </c>
      <c r="B35" s="11" t="inlineStr">
        <is>
          <t>Мексика</t>
        </is>
      </c>
      <c r="C35" s="11" t="inlineStr">
        <is>
          <t>AndesCargo</t>
        </is>
      </c>
      <c r="D35" s="11" t="inlineStr">
        <is>
          <t>AC89236663</t>
        </is>
      </c>
      <c r="E35" s="12" t="n">
        <v>46294</v>
      </c>
      <c r="F35" s="11" t="inlineStr">
        <is>
          <t>Delivered</t>
        </is>
      </c>
      <c r="G35" s="12" t="n">
        <v>46297</v>
      </c>
      <c r="H35" s="5">
        <f>IF(G35="","",Rules!$B$1-G35)</f>
        <v/>
      </c>
      <c r="I35" s="5">
        <f>IF(F35="Address issue","address issue",IF(OR(F35="Delivered",F35="Returned to sender",G35=""),"",IF(AND(Rules!$B$3&lt;&gt;"",F35="Held at customs",H35&gt;=Rules!$B$3),"customs &gt;= "&amp;Rules!$B$3&amp;" days",IF(H35&gt;=Rules!$B$2,"idle &gt;= "&amp;Rules!$B$2&amp;" days",""))))</f>
        <v/>
      </c>
      <c r="J35" s="5">
        <f>IF(I35="","",IF(F35="Address issue",0,COUNTIF($I$2:$I$1001,"address issue"))+COUNTIFS($I$2:$I$1001,"?*",$F$2:$F$1001,IF(F35="Address issue","Address issue","&lt;&gt;Address issue"),$H$2:$H$1001,"&gt;"&amp;H35)+1)</f>
        <v/>
      </c>
    </row>
    <row r="36">
      <c r="A36" s="11" t="n">
        <v>100035</v>
      </c>
      <c r="B36" s="11" t="inlineStr">
        <is>
          <t>Мексика</t>
        </is>
      </c>
      <c r="C36" s="11" t="inlineStr">
        <is>
          <t>AndesCargo</t>
        </is>
      </c>
      <c r="D36" s="11" t="inlineStr">
        <is>
          <t>AC39519156</t>
        </is>
      </c>
      <c r="E36" s="12" t="n">
        <v>46293</v>
      </c>
      <c r="F36" s="11" t="inlineStr">
        <is>
          <t>Held at customs</t>
        </is>
      </c>
      <c r="G36" s="12" t="n">
        <v>46298</v>
      </c>
      <c r="H36" s="5">
        <f>IF(G36="","",Rules!$B$1-G36)</f>
        <v/>
      </c>
      <c r="I36" s="5">
        <f>IF(F36="Address issue","address issue",IF(OR(F36="Delivered",F36="Returned to sender",G36=""),"",IF(AND(Rules!$B$3&lt;&gt;"",F36="Held at customs",H36&gt;=Rules!$B$3),"customs &gt;= "&amp;Rules!$B$3&amp;" days",IF(H36&gt;=Rules!$B$2,"idle &gt;= "&amp;Rules!$B$2&amp;" days",""))))</f>
        <v/>
      </c>
      <c r="J36" s="5">
        <f>IF(I36="","",IF(F36="Address issue",0,COUNTIF($I$2:$I$1001,"address issue"))+COUNTIFS($I$2:$I$1001,"?*",$F$2:$F$1001,IF(F36="Address issue","Address issue","&lt;&gt;Address issue"),$H$2:$H$1001,"&gt;"&amp;H36)+1)</f>
        <v/>
      </c>
    </row>
    <row r="37">
      <c r="A37" s="11" t="n">
        <v>100036</v>
      </c>
      <c r="B37" s="11" t="inlineStr">
        <is>
          <t>Мексика</t>
        </is>
      </c>
      <c r="C37" s="11" t="inlineStr">
        <is>
          <t>SwiftParcel</t>
        </is>
      </c>
      <c r="D37" s="11" t="inlineStr">
        <is>
          <t>SP8586550</t>
        </is>
      </c>
      <c r="E37" s="12" t="n">
        <v>46302</v>
      </c>
      <c r="F37" s="11" t="inlineStr">
        <is>
          <t>In transit</t>
        </is>
      </c>
      <c r="G37" s="13" t="n">
        <v>46309</v>
      </c>
      <c r="H37" s="5">
        <f>IF(G37="","",Rules!$B$1-G37)</f>
        <v/>
      </c>
      <c r="I37" s="5">
        <f>IF(F37="Address issue","address issue",IF(OR(F37="Delivered",F37="Returned to sender",G37=""),"",IF(AND(Rules!$B$3&lt;&gt;"",F37="Held at customs",H37&gt;=Rules!$B$3),"customs &gt;= "&amp;Rules!$B$3&amp;" days",IF(H37&gt;=Rules!$B$2,"idle &gt;= "&amp;Rules!$B$2&amp;" days",""))))</f>
        <v/>
      </c>
      <c r="J37" s="5">
        <f>IF(I37="","",IF(F37="Address issue",0,COUNTIF($I$2:$I$1001,"address issue"))+COUNTIFS($I$2:$I$1001,"?*",$F$2:$F$1001,IF(F37="Address issue","Address issue","&lt;&gt;Address issue"),$H$2:$H$1001,"&gt;"&amp;H37)+1)</f>
        <v/>
      </c>
    </row>
    <row r="38">
      <c r="A38" s="11" t="n">
        <v>100037</v>
      </c>
      <c r="B38" s="11" t="inlineStr">
        <is>
          <t>Мексика</t>
        </is>
      </c>
      <c r="C38" s="11" t="inlineStr">
        <is>
          <t>AndesCargo</t>
        </is>
      </c>
      <c r="D38" s="11" t="inlineStr">
        <is>
          <t>AC19756701</t>
        </is>
      </c>
      <c r="E38" s="12" t="n">
        <v>46296</v>
      </c>
      <c r="F38" s="11" t="inlineStr">
        <is>
          <t>In transit</t>
        </is>
      </c>
      <c r="G38" s="12" t="n">
        <v>46304</v>
      </c>
      <c r="H38" s="5">
        <f>IF(G38="","",Rules!$B$1-G38)</f>
        <v/>
      </c>
      <c r="I38" s="5">
        <f>IF(F38="Address issue","address issue",IF(OR(F38="Delivered",F38="Returned to sender",G38=""),"",IF(AND(Rules!$B$3&lt;&gt;"",F38="Held at customs",H38&gt;=Rules!$B$3),"customs &gt;= "&amp;Rules!$B$3&amp;" days",IF(H38&gt;=Rules!$B$2,"idle &gt;= "&amp;Rules!$B$2&amp;" days",""))))</f>
        <v/>
      </c>
      <c r="J38" s="5">
        <f>IF(I38="","",IF(F38="Address issue",0,COUNTIF($I$2:$I$1001,"address issue"))+COUNTIFS($I$2:$I$1001,"?*",$F$2:$F$1001,IF(F38="Address issue","Address issue","&lt;&gt;Address issue"),$H$2:$H$1001,"&gt;"&amp;H38)+1)</f>
        <v/>
      </c>
    </row>
    <row r="39">
      <c r="A39" s="11" t="n">
        <v>100038</v>
      </c>
      <c r="B39" s="11" t="inlineStr">
        <is>
          <t>Мексика</t>
        </is>
      </c>
      <c r="C39" s="11" t="inlineStr">
        <is>
          <t>SwiftParcel</t>
        </is>
      </c>
      <c r="D39" s="11" t="inlineStr">
        <is>
          <t>SP4378321</t>
        </is>
      </c>
      <c r="E39" s="12" t="n">
        <v>46299</v>
      </c>
      <c r="F39" s="11" t="inlineStr">
        <is>
          <t>Returned to sender</t>
        </is>
      </c>
      <c r="G39" s="13" t="n">
        <v>46306</v>
      </c>
      <c r="H39" s="5">
        <f>IF(G39="","",Rules!$B$1-G39)</f>
        <v/>
      </c>
      <c r="I39" s="5">
        <f>IF(F39="Address issue","address issue",IF(OR(F39="Delivered",F39="Returned to sender",G39=""),"",IF(AND(Rules!$B$3&lt;&gt;"",F39="Held at customs",H39&gt;=Rules!$B$3),"customs &gt;= "&amp;Rules!$B$3&amp;" days",IF(H39&gt;=Rules!$B$2,"idle &gt;= "&amp;Rules!$B$2&amp;" days",""))))</f>
        <v/>
      </c>
      <c r="J39" s="5">
        <f>IF(I39="","",IF(F39="Address issue",0,COUNTIF($I$2:$I$1001,"address issue"))+COUNTIFS($I$2:$I$1001,"?*",$F$2:$F$1001,IF(F39="Address issue","Address issue","&lt;&gt;Address issue"),$H$2:$H$1001,"&gt;"&amp;H39)+1)</f>
        <v/>
      </c>
    </row>
    <row r="40">
      <c r="A40" s="11" t="n">
        <v>100039</v>
      </c>
      <c r="B40" s="11" t="inlineStr">
        <is>
          <t>Бразилія</t>
        </is>
      </c>
      <c r="C40" s="11" t="inlineStr">
        <is>
          <t>SwiftParcel</t>
        </is>
      </c>
      <c r="D40" s="11" t="inlineStr">
        <is>
          <t>SP7773684</t>
        </is>
      </c>
      <c r="E40" s="13" t="n">
        <v>46305</v>
      </c>
      <c r="F40" s="11" t="inlineStr">
        <is>
          <t>In transit</t>
        </is>
      </c>
      <c r="G40" s="13" t="n">
        <v>46307</v>
      </c>
      <c r="H40" s="5">
        <f>IF(G40="","",Rules!$B$1-G40)</f>
        <v/>
      </c>
      <c r="I40" s="5">
        <f>IF(F40="Address issue","address issue",IF(OR(F40="Delivered",F40="Returned to sender",G40=""),"",IF(AND(Rules!$B$3&lt;&gt;"",F40="Held at customs",H40&gt;=Rules!$B$3),"customs &gt;= "&amp;Rules!$B$3&amp;" days",IF(H40&gt;=Rules!$B$2,"idle &gt;= "&amp;Rules!$B$2&amp;" days",""))))</f>
        <v/>
      </c>
      <c r="J40" s="5">
        <f>IF(I40="","",IF(F40="Address issue",0,COUNTIF($I$2:$I$1001,"address issue"))+COUNTIFS($I$2:$I$1001,"?*",$F$2:$F$1001,IF(F40="Address issue","Address issue","&lt;&gt;Address issue"),$H$2:$H$1001,"&gt;"&amp;H40)+1)</f>
        <v/>
      </c>
    </row>
    <row r="41">
      <c r="A41" s="11" t="n">
        <v>100040</v>
      </c>
      <c r="B41" s="11" t="inlineStr">
        <is>
          <t>Бразилія</t>
        </is>
      </c>
      <c r="C41" s="11" t="inlineStr">
        <is>
          <t>SwiftParcel</t>
        </is>
      </c>
      <c r="D41" s="11" t="inlineStr">
        <is>
          <t>SP6902665</t>
        </is>
      </c>
      <c r="E41" s="13" t="n">
        <v>46306</v>
      </c>
      <c r="F41" s="11" t="inlineStr">
        <is>
          <t>In transit</t>
        </is>
      </c>
      <c r="G41" s="13" t="n">
        <v>46307</v>
      </c>
      <c r="H41" s="5">
        <f>IF(G41="","",Rules!$B$1-G41)</f>
        <v/>
      </c>
      <c r="I41" s="5">
        <f>IF(F41="Address issue","address issue",IF(OR(F41="Delivered",F41="Returned to sender",G41=""),"",IF(AND(Rules!$B$3&lt;&gt;"",F41="Held at customs",H41&gt;=Rules!$B$3),"customs &gt;= "&amp;Rules!$B$3&amp;" days",IF(H41&gt;=Rules!$B$2,"idle &gt;= "&amp;Rules!$B$2&amp;" days",""))))</f>
        <v/>
      </c>
      <c r="J41" s="5">
        <f>IF(I41="","",IF(F41="Address issue",0,COUNTIF($I$2:$I$1001,"address issue"))+COUNTIFS($I$2:$I$1001,"?*",$F$2:$F$1001,IF(F41="Address issue","Address issue","&lt;&gt;Address issue"),$H$2:$H$1001,"&gt;"&amp;H41)+1)</f>
        <v/>
      </c>
    </row>
    <row r="42">
      <c r="A42" s="11" t="n">
        <v>100041</v>
      </c>
      <c r="B42" s="11" t="inlineStr">
        <is>
          <t>Бразилія</t>
        </is>
      </c>
      <c r="C42" s="11" t="inlineStr">
        <is>
          <t>AndesCargo</t>
        </is>
      </c>
      <c r="D42" s="11" t="inlineStr">
        <is>
          <t>AC96178316</t>
        </is>
      </c>
      <c r="E42" s="12" t="n">
        <v>46297</v>
      </c>
      <c r="F42" s="11" t="inlineStr">
        <is>
          <t>Delivered</t>
        </is>
      </c>
      <c r="G42" s="12" t="n">
        <v>46304</v>
      </c>
      <c r="H42" s="5">
        <f>IF(G42="","",Rules!$B$1-G42)</f>
        <v/>
      </c>
      <c r="I42" s="5">
        <f>IF(F42="Address issue","address issue",IF(OR(F42="Delivered",F42="Returned to sender",G42=""),"",IF(AND(Rules!$B$3&lt;&gt;"",F42="Held at customs",H42&gt;=Rules!$B$3),"customs &gt;= "&amp;Rules!$B$3&amp;" days",IF(H42&gt;=Rules!$B$2,"idle &gt;= "&amp;Rules!$B$2&amp;" days",""))))</f>
        <v/>
      </c>
      <c r="J42" s="5">
        <f>IF(I42="","",IF(F42="Address issue",0,COUNTIF($I$2:$I$1001,"address issue"))+COUNTIFS($I$2:$I$1001,"?*",$F$2:$F$1001,IF(F42="Address issue","Address issue","&lt;&gt;Address issue"),$H$2:$H$1001,"&gt;"&amp;H42)+1)</f>
        <v/>
      </c>
    </row>
    <row r="43">
      <c r="A43" s="11" t="n">
        <v>100042</v>
      </c>
      <c r="B43" s="11" t="inlineStr">
        <is>
          <t>Канада</t>
        </is>
      </c>
      <c r="C43" s="11" t="inlineStr">
        <is>
          <t>PostLink</t>
        </is>
      </c>
      <c r="D43" s="11" t="inlineStr">
        <is>
          <t>PL52352674</t>
        </is>
      </c>
      <c r="E43" s="12" t="n">
        <v>46290</v>
      </c>
      <c r="F43" s="11" t="inlineStr">
        <is>
          <t>Delivered</t>
        </is>
      </c>
      <c r="G43" s="12" t="n">
        <v>46301</v>
      </c>
      <c r="H43" s="5">
        <f>IF(G43="","",Rules!$B$1-G43)</f>
        <v/>
      </c>
      <c r="I43" s="5">
        <f>IF(F43="Address issue","address issue",IF(OR(F43="Delivered",F43="Returned to sender",G43=""),"",IF(AND(Rules!$B$3&lt;&gt;"",F43="Held at customs",H43&gt;=Rules!$B$3),"customs &gt;= "&amp;Rules!$B$3&amp;" days",IF(H43&gt;=Rules!$B$2,"idle &gt;= "&amp;Rules!$B$2&amp;" days",""))))</f>
        <v/>
      </c>
      <c r="J43" s="5">
        <f>IF(I43="","",IF(F43="Address issue",0,COUNTIF($I$2:$I$1001,"address issue"))+COUNTIFS($I$2:$I$1001,"?*",$F$2:$F$1001,IF(F43="Address issue","Address issue","&lt;&gt;Address issue"),$H$2:$H$1001,"&gt;"&amp;H43)+1)</f>
        <v/>
      </c>
    </row>
    <row r="44">
      <c r="A44" s="11" t="n">
        <v>100043</v>
      </c>
      <c r="B44" s="11" t="inlineStr">
        <is>
          <t>Канада</t>
        </is>
      </c>
      <c r="C44" s="11" t="inlineStr">
        <is>
          <t>PostLink</t>
        </is>
      </c>
      <c r="D44" s="11" t="inlineStr">
        <is>
          <t>PL47917428</t>
        </is>
      </c>
      <c r="E44" s="12" t="n">
        <v>46281</v>
      </c>
      <c r="F44" s="11" t="inlineStr">
        <is>
          <t>Delivered</t>
        </is>
      </c>
      <c r="G44" s="12" t="n">
        <v>46292</v>
      </c>
      <c r="H44" s="5">
        <f>IF(G44="","",Rules!$B$1-G44)</f>
        <v/>
      </c>
      <c r="I44" s="5">
        <f>IF(F44="Address issue","address issue",IF(OR(F44="Delivered",F44="Returned to sender",G44=""),"",IF(AND(Rules!$B$3&lt;&gt;"",F44="Held at customs",H44&gt;=Rules!$B$3),"customs &gt;= "&amp;Rules!$B$3&amp;" days",IF(H44&gt;=Rules!$B$2,"idle &gt;= "&amp;Rules!$B$2&amp;" days",""))))</f>
        <v/>
      </c>
      <c r="J44" s="5">
        <f>IF(I44="","",IF(F44="Address issue",0,COUNTIF($I$2:$I$1001,"address issue"))+COUNTIFS($I$2:$I$1001,"?*",$F$2:$F$1001,IF(F44="Address issue","Address issue","&lt;&gt;Address issue"),$H$2:$H$1001,"&gt;"&amp;H44)+1)</f>
        <v/>
      </c>
    </row>
    <row r="45">
      <c r="A45" s="11" t="n">
        <v>100044</v>
      </c>
      <c r="B45" s="11" t="inlineStr">
        <is>
          <t>Канада</t>
        </is>
      </c>
      <c r="C45" s="11" t="inlineStr">
        <is>
          <t>PostLink</t>
        </is>
      </c>
      <c r="D45" s="11" t="inlineStr">
        <is>
          <t>PL64801201</t>
        </is>
      </c>
      <c r="E45" s="12" t="n">
        <v>46273</v>
      </c>
      <c r="F45" s="11" t="inlineStr">
        <is>
          <t>Delivered</t>
        </is>
      </c>
      <c r="G45" s="12" t="n">
        <v>46284</v>
      </c>
      <c r="H45" s="5">
        <f>IF(G45="","",Rules!$B$1-G45)</f>
        <v/>
      </c>
      <c r="I45" s="5">
        <f>IF(F45="Address issue","address issue",IF(OR(F45="Delivered",F45="Returned to sender",G45=""),"",IF(AND(Rules!$B$3&lt;&gt;"",F45="Held at customs",H45&gt;=Rules!$B$3),"customs &gt;= "&amp;Rules!$B$3&amp;" days",IF(H45&gt;=Rules!$B$2,"idle &gt;= "&amp;Rules!$B$2&amp;" days",""))))</f>
        <v/>
      </c>
      <c r="J45" s="5">
        <f>IF(I45="","",IF(F45="Address issue",0,COUNTIF($I$2:$I$1001,"address issue"))+COUNTIFS($I$2:$I$1001,"?*",$F$2:$F$1001,IF(F45="Address issue","Address issue","&lt;&gt;Address issue"),$H$2:$H$1001,"&gt;"&amp;H45)+1)</f>
        <v/>
      </c>
    </row>
    <row r="46">
      <c r="A46" s="11" t="n">
        <v>100045</v>
      </c>
      <c r="B46" s="11" t="inlineStr">
        <is>
          <t>Бразилія</t>
        </is>
      </c>
      <c r="C46" s="11" t="inlineStr">
        <is>
          <t>SwiftParcel</t>
        </is>
      </c>
      <c r="D46" s="11" t="inlineStr">
        <is>
          <t>SP3354293</t>
        </is>
      </c>
      <c r="E46" s="12" t="n">
        <v>46301</v>
      </c>
      <c r="F46" s="11" t="inlineStr">
        <is>
          <t>In transit</t>
        </is>
      </c>
      <c r="G46" s="13" t="n">
        <v>46309</v>
      </c>
      <c r="H46" s="5">
        <f>IF(G46="","",Rules!$B$1-G46)</f>
        <v/>
      </c>
      <c r="I46" s="5">
        <f>IF(F46="Address issue","address issue",IF(OR(F46="Delivered",F46="Returned to sender",G46=""),"",IF(AND(Rules!$B$3&lt;&gt;"",F46="Held at customs",H46&gt;=Rules!$B$3),"customs &gt;= "&amp;Rules!$B$3&amp;" days",IF(H46&gt;=Rules!$B$2,"idle &gt;= "&amp;Rules!$B$2&amp;" days",""))))</f>
        <v/>
      </c>
      <c r="J46" s="5">
        <f>IF(I46="","",IF(F46="Address issue",0,COUNTIF($I$2:$I$1001,"address issue"))+COUNTIFS($I$2:$I$1001,"?*",$F$2:$F$1001,IF(F46="Address issue","Address issue","&lt;&gt;Address issue"),$H$2:$H$1001,"&gt;"&amp;H46)+1)</f>
        <v/>
      </c>
    </row>
    <row r="47">
      <c r="A47" s="11" t="n">
        <v>100046</v>
      </c>
      <c r="B47" s="11" t="inlineStr">
        <is>
          <t>Канада</t>
        </is>
      </c>
      <c r="C47" s="11" t="inlineStr">
        <is>
          <t>PostLink</t>
        </is>
      </c>
      <c r="D47" s="11" t="inlineStr">
        <is>
          <t>PL95451651</t>
        </is>
      </c>
      <c r="E47" s="12" t="n">
        <v>46303</v>
      </c>
      <c r="F47" s="11" t="inlineStr">
        <is>
          <t>Address issue</t>
        </is>
      </c>
      <c r="G47" s="13" t="n">
        <v>46308</v>
      </c>
      <c r="H47" s="5">
        <f>IF(G47="","",Rules!$B$1-G47)</f>
        <v/>
      </c>
      <c r="I47" s="5">
        <f>IF(F47="Address issue","address issue",IF(OR(F47="Delivered",F47="Returned to sender",G47=""),"",IF(AND(Rules!$B$3&lt;&gt;"",F47="Held at customs",H47&gt;=Rules!$B$3),"customs &gt;= "&amp;Rules!$B$3&amp;" days",IF(H47&gt;=Rules!$B$2,"idle &gt;= "&amp;Rules!$B$2&amp;" days",""))))</f>
        <v/>
      </c>
      <c r="J47" s="5">
        <f>IF(I47="","",IF(F47="Address issue",0,COUNTIF($I$2:$I$1001,"address issue"))+COUNTIFS($I$2:$I$1001,"?*",$F$2:$F$1001,IF(F47="Address issue","Address issue","&lt;&gt;Address issue"),$H$2:$H$1001,"&gt;"&amp;H47)+1)</f>
        <v/>
      </c>
    </row>
    <row r="48">
      <c r="A48" s="11" t="n">
        <v>100047</v>
      </c>
      <c r="B48" s="11" t="inlineStr">
        <is>
          <t>Мексика</t>
        </is>
      </c>
      <c r="C48" s="11" t="inlineStr">
        <is>
          <t>AndesCargo</t>
        </is>
      </c>
      <c r="D48" s="11" t="inlineStr">
        <is>
          <t>AC14865364</t>
        </is>
      </c>
      <c r="E48" s="12" t="n">
        <v>46277</v>
      </c>
      <c r="F48" s="11" t="inlineStr">
        <is>
          <t>Delivered</t>
        </is>
      </c>
      <c r="G48" s="12" t="n">
        <v>46289</v>
      </c>
      <c r="H48" s="5">
        <f>IF(G48="","",Rules!$B$1-G48)</f>
        <v/>
      </c>
      <c r="I48" s="5">
        <f>IF(F48="Address issue","address issue",IF(OR(F48="Delivered",F48="Returned to sender",G48=""),"",IF(AND(Rules!$B$3&lt;&gt;"",F48="Held at customs",H48&gt;=Rules!$B$3),"customs &gt;= "&amp;Rules!$B$3&amp;" days",IF(H48&gt;=Rules!$B$2,"idle &gt;= "&amp;Rules!$B$2&amp;" days",""))))</f>
        <v/>
      </c>
      <c r="J48" s="5">
        <f>IF(I48="","",IF(F48="Address issue",0,COUNTIF($I$2:$I$1001,"address issue"))+COUNTIFS($I$2:$I$1001,"?*",$F$2:$F$1001,IF(F48="Address issue","Address issue","&lt;&gt;Address issue"),$H$2:$H$1001,"&gt;"&amp;H48)+1)</f>
        <v/>
      </c>
    </row>
    <row r="49">
      <c r="A49" s="11" t="n">
        <v>100048</v>
      </c>
      <c r="B49" s="11" t="inlineStr">
        <is>
          <t>Бразилія</t>
        </is>
      </c>
      <c r="C49" s="11" t="inlineStr">
        <is>
          <t>SwiftParcel</t>
        </is>
      </c>
      <c r="D49" s="11" t="inlineStr">
        <is>
          <t>SP2517949</t>
        </is>
      </c>
      <c r="E49" s="12" t="n">
        <v>46278</v>
      </c>
      <c r="F49" s="11" t="inlineStr">
        <is>
          <t>Delivered</t>
        </is>
      </c>
      <c r="G49" s="12" t="n">
        <v>46281</v>
      </c>
      <c r="H49" s="5">
        <f>IF(G49="","",Rules!$B$1-G49)</f>
        <v/>
      </c>
      <c r="I49" s="5">
        <f>IF(F49="Address issue","address issue",IF(OR(F49="Delivered",F49="Returned to sender",G49=""),"",IF(AND(Rules!$B$3&lt;&gt;"",F49="Held at customs",H49&gt;=Rules!$B$3),"customs &gt;= "&amp;Rules!$B$3&amp;" days",IF(H49&gt;=Rules!$B$2,"idle &gt;= "&amp;Rules!$B$2&amp;" days",""))))</f>
        <v/>
      </c>
      <c r="J49" s="5">
        <f>IF(I49="","",IF(F49="Address issue",0,COUNTIF($I$2:$I$1001,"address issue"))+COUNTIFS($I$2:$I$1001,"?*",$F$2:$F$1001,IF(F49="Address issue","Address issue","&lt;&gt;Address issue"),$H$2:$H$1001,"&gt;"&amp;H49)+1)</f>
        <v/>
      </c>
    </row>
    <row r="50">
      <c r="A50" s="11" t="n">
        <v>100049</v>
      </c>
      <c r="B50" s="11" t="inlineStr">
        <is>
          <t>Бразилія</t>
        </is>
      </c>
      <c r="C50" s="11" t="inlineStr">
        <is>
          <t>AndesCargo</t>
        </is>
      </c>
      <c r="D50" s="11" t="inlineStr">
        <is>
          <t>AC72325967</t>
        </is>
      </c>
      <c r="E50" s="12" t="n">
        <v>46298</v>
      </c>
      <c r="F50" s="11" t="inlineStr">
        <is>
          <t>Held at customs</t>
        </is>
      </c>
      <c r="G50" s="12" t="n">
        <v>46303</v>
      </c>
      <c r="H50" s="5">
        <f>IF(G50="","",Rules!$B$1-G50)</f>
        <v/>
      </c>
      <c r="I50" s="5">
        <f>IF(F50="Address issue","address issue",IF(OR(F50="Delivered",F50="Returned to sender",G50=""),"",IF(AND(Rules!$B$3&lt;&gt;"",F50="Held at customs",H50&gt;=Rules!$B$3),"customs &gt;= "&amp;Rules!$B$3&amp;" days",IF(H50&gt;=Rules!$B$2,"idle &gt;= "&amp;Rules!$B$2&amp;" days",""))))</f>
        <v/>
      </c>
      <c r="J50" s="5">
        <f>IF(I50="","",IF(F50="Address issue",0,COUNTIF($I$2:$I$1001,"address issue"))+COUNTIFS($I$2:$I$1001,"?*",$F$2:$F$1001,IF(F50="Address issue","Address issue","&lt;&gt;Address issue"),$H$2:$H$1001,"&gt;"&amp;H50)+1)</f>
        <v/>
      </c>
    </row>
    <row r="51">
      <c r="A51" s="11" t="n">
        <v>100050</v>
      </c>
      <c r="B51" s="11" t="inlineStr">
        <is>
          <t>Мексика</t>
        </is>
      </c>
      <c r="C51" s="11" t="inlineStr">
        <is>
          <t>AndesCargo</t>
        </is>
      </c>
      <c r="D51" s="11" t="inlineStr">
        <is>
          <t>AC55169809</t>
        </is>
      </c>
      <c r="E51" s="12" t="n">
        <v>46296</v>
      </c>
      <c r="F51" s="11" t="inlineStr">
        <is>
          <t>In transit</t>
        </is>
      </c>
      <c r="G51" s="12" t="n">
        <v>46304</v>
      </c>
      <c r="H51" s="5">
        <f>IF(G51="","",Rules!$B$1-G51)</f>
        <v/>
      </c>
      <c r="I51" s="5">
        <f>IF(F51="Address issue","address issue",IF(OR(F51="Delivered",F51="Returned to sender",G51=""),"",IF(AND(Rules!$B$3&lt;&gt;"",F51="Held at customs",H51&gt;=Rules!$B$3),"customs &gt;= "&amp;Rules!$B$3&amp;" days",IF(H51&gt;=Rules!$B$2,"idle &gt;= "&amp;Rules!$B$2&amp;" days",""))))</f>
        <v/>
      </c>
      <c r="J51" s="5">
        <f>IF(I51="","",IF(F51="Address issue",0,COUNTIF($I$2:$I$1001,"address issue"))+COUNTIFS($I$2:$I$1001,"?*",$F$2:$F$1001,IF(F51="Address issue","Address issue","&lt;&gt;Address issue"),$H$2:$H$1001,"&gt;"&amp;H51)+1)</f>
        <v/>
      </c>
    </row>
    <row r="52">
      <c r="A52" s="11" t="n">
        <v>100051</v>
      </c>
      <c r="B52" s="11" t="inlineStr">
        <is>
          <t>Бразилія</t>
        </is>
      </c>
      <c r="C52" s="11" t="inlineStr">
        <is>
          <t>SwiftParcel</t>
        </is>
      </c>
      <c r="D52" s="11" t="inlineStr">
        <is>
          <t>SP3427583</t>
        </is>
      </c>
      <c r="E52" s="12" t="n">
        <v>46296</v>
      </c>
      <c r="F52" s="11" t="inlineStr">
        <is>
          <t>Held at customs</t>
        </is>
      </c>
      <c r="G52" s="12" t="n">
        <v>46302</v>
      </c>
      <c r="H52" s="5">
        <f>IF(G52="","",Rules!$B$1-G52)</f>
        <v/>
      </c>
      <c r="I52" s="5">
        <f>IF(F52="Address issue","address issue",IF(OR(F52="Delivered",F52="Returned to sender",G52=""),"",IF(AND(Rules!$B$3&lt;&gt;"",F52="Held at customs",H52&gt;=Rules!$B$3),"customs &gt;= "&amp;Rules!$B$3&amp;" days",IF(H52&gt;=Rules!$B$2,"idle &gt;= "&amp;Rules!$B$2&amp;" days",""))))</f>
        <v/>
      </c>
      <c r="J52" s="5">
        <f>IF(I52="","",IF(F52="Address issue",0,COUNTIF($I$2:$I$1001,"address issue"))+COUNTIFS($I$2:$I$1001,"?*",$F$2:$F$1001,IF(F52="Address issue","Address issue","&lt;&gt;Address issue"),$H$2:$H$1001,"&gt;"&amp;H52)+1)</f>
        <v/>
      </c>
    </row>
    <row r="53">
      <c r="A53" s="11" t="n">
        <v>100052</v>
      </c>
      <c r="B53" s="11" t="inlineStr">
        <is>
          <t>Мексика</t>
        </is>
      </c>
      <c r="C53" s="11" t="inlineStr">
        <is>
          <t>AndesCargo</t>
        </is>
      </c>
      <c r="D53" s="11" t="inlineStr">
        <is>
          <t>AC59360709</t>
        </is>
      </c>
      <c r="E53" s="12" t="n">
        <v>46298</v>
      </c>
      <c r="F53" s="11" t="inlineStr">
        <is>
          <t>Delivered</t>
        </is>
      </c>
      <c r="G53" s="13" t="n">
        <v>46305</v>
      </c>
      <c r="H53" s="5">
        <f>IF(G53="","",Rules!$B$1-G53)</f>
        <v/>
      </c>
      <c r="I53" s="5">
        <f>IF(F53="Address issue","address issue",IF(OR(F53="Delivered",F53="Returned to sender",G53=""),"",IF(AND(Rules!$B$3&lt;&gt;"",F53="Held at customs",H53&gt;=Rules!$B$3),"customs &gt;= "&amp;Rules!$B$3&amp;" days",IF(H53&gt;=Rules!$B$2,"idle &gt;= "&amp;Rules!$B$2&amp;" days",""))))</f>
        <v/>
      </c>
      <c r="J53" s="5">
        <f>IF(I53="","",IF(F53="Address issue",0,COUNTIF($I$2:$I$1001,"address issue"))+COUNTIFS($I$2:$I$1001,"?*",$F$2:$F$1001,IF(F53="Address issue","Address issue","&lt;&gt;Address issue"),$H$2:$H$1001,"&gt;"&amp;H53)+1)</f>
        <v/>
      </c>
    </row>
    <row r="54">
      <c r="A54" s="11" t="n">
        <v>100053</v>
      </c>
      <c r="B54" s="11" t="inlineStr">
        <is>
          <t>Бразилія</t>
        </is>
      </c>
      <c r="C54" s="11" t="inlineStr">
        <is>
          <t>AndesCargo</t>
        </is>
      </c>
      <c r="D54" s="5" t="n"/>
      <c r="E54" s="12" t="n">
        <v>46292</v>
      </c>
      <c r="F54" s="5" t="n"/>
      <c r="G54" s="5" t="n"/>
      <c r="H54" s="5">
        <f>IF(G54="","",Rules!$B$1-G54)</f>
        <v/>
      </c>
      <c r="I54" s="5">
        <f>IF(F54="Address issue","address issue",IF(OR(F54="Delivered",F54="Returned to sender",G54=""),"",IF(AND(Rules!$B$3&lt;&gt;"",F54="Held at customs",H54&gt;=Rules!$B$3),"customs &gt;= "&amp;Rules!$B$3&amp;" days",IF(H54&gt;=Rules!$B$2,"idle &gt;= "&amp;Rules!$B$2&amp;" days",""))))</f>
        <v/>
      </c>
      <c r="J54" s="5">
        <f>IF(I54="","",IF(F54="Address issue",0,COUNTIF($I$2:$I$1001,"address issue"))+COUNTIFS($I$2:$I$1001,"?*",$F$2:$F$1001,IF(F54="Address issue","Address issue","&lt;&gt;Address issue"),$H$2:$H$1001,"&gt;"&amp;H54)+1)</f>
        <v/>
      </c>
    </row>
    <row r="55">
      <c r="A55" s="11" t="n">
        <v>100054</v>
      </c>
      <c r="B55" s="11" t="inlineStr">
        <is>
          <t>Бразилія</t>
        </is>
      </c>
      <c r="C55" s="11" t="inlineStr">
        <is>
          <t>SwiftParcel</t>
        </is>
      </c>
      <c r="D55" s="11" t="inlineStr">
        <is>
          <t>SP6635524</t>
        </is>
      </c>
      <c r="E55" s="12" t="n">
        <v>46293</v>
      </c>
      <c r="F55" s="11" t="inlineStr">
        <is>
          <t>Delivered</t>
        </is>
      </c>
      <c r="G55" s="12" t="n">
        <v>46302</v>
      </c>
      <c r="H55" s="5">
        <f>IF(G55="","",Rules!$B$1-G55)</f>
        <v/>
      </c>
      <c r="I55" s="5">
        <f>IF(F55="Address issue","address issue",IF(OR(F55="Delivered",F55="Returned to sender",G55=""),"",IF(AND(Rules!$B$3&lt;&gt;"",F55="Held at customs",H55&gt;=Rules!$B$3),"customs &gt;= "&amp;Rules!$B$3&amp;" days",IF(H55&gt;=Rules!$B$2,"idle &gt;= "&amp;Rules!$B$2&amp;" days",""))))</f>
        <v/>
      </c>
      <c r="J55" s="5">
        <f>IF(I55="","",IF(F55="Address issue",0,COUNTIF($I$2:$I$1001,"address issue"))+COUNTIFS($I$2:$I$1001,"?*",$F$2:$F$1001,IF(F55="Address issue","Address issue","&lt;&gt;Address issue"),$H$2:$H$1001,"&gt;"&amp;H55)+1)</f>
        <v/>
      </c>
    </row>
    <row r="56">
      <c r="A56" s="11" t="n">
        <v>100055</v>
      </c>
      <c r="B56" s="11" t="inlineStr">
        <is>
          <t>Мексика</t>
        </is>
      </c>
      <c r="C56" s="11" t="inlineStr">
        <is>
          <t>AndesCargo</t>
        </is>
      </c>
      <c r="D56" s="11" t="inlineStr">
        <is>
          <t>AC63942720</t>
        </is>
      </c>
      <c r="E56" s="12" t="n">
        <v>46278</v>
      </c>
      <c r="F56" s="11" t="inlineStr">
        <is>
          <t>Delivered</t>
        </is>
      </c>
      <c r="G56" s="12" t="n">
        <v>46288</v>
      </c>
      <c r="H56" s="5">
        <f>IF(G56="","",Rules!$B$1-G56)</f>
        <v/>
      </c>
      <c r="I56" s="5">
        <f>IF(F56="Address issue","address issue",IF(OR(F56="Delivered",F56="Returned to sender",G56=""),"",IF(AND(Rules!$B$3&lt;&gt;"",F56="Held at customs",H56&gt;=Rules!$B$3),"customs &gt;= "&amp;Rules!$B$3&amp;" days",IF(H56&gt;=Rules!$B$2,"idle &gt;= "&amp;Rules!$B$2&amp;" days",""))))</f>
        <v/>
      </c>
      <c r="J56" s="5">
        <f>IF(I56="","",IF(F56="Address issue",0,COUNTIF($I$2:$I$1001,"address issue"))+COUNTIFS($I$2:$I$1001,"?*",$F$2:$F$1001,IF(F56="Address issue","Address issue","&lt;&gt;Address issue"),$H$2:$H$1001,"&gt;"&amp;H56)+1)</f>
        <v/>
      </c>
    </row>
    <row r="57">
      <c r="A57" s="11" t="n">
        <v>100056</v>
      </c>
      <c r="B57" s="11" t="inlineStr">
        <is>
          <t>Мексика</t>
        </is>
      </c>
      <c r="C57" s="11" t="inlineStr">
        <is>
          <t>AndesCargo</t>
        </is>
      </c>
      <c r="D57" s="11" t="inlineStr">
        <is>
          <t>AC30079420</t>
        </is>
      </c>
      <c r="E57" s="12" t="n">
        <v>46300</v>
      </c>
      <c r="F57" s="11" t="inlineStr">
        <is>
          <t>Delivered</t>
        </is>
      </c>
      <c r="G57" s="13" t="n">
        <v>46306</v>
      </c>
      <c r="H57" s="5">
        <f>IF(G57="","",Rules!$B$1-G57)</f>
        <v/>
      </c>
      <c r="I57" s="5">
        <f>IF(F57="Address issue","address issue",IF(OR(F57="Delivered",F57="Returned to sender",G57=""),"",IF(AND(Rules!$B$3&lt;&gt;"",F57="Held at customs",H57&gt;=Rules!$B$3),"customs &gt;= "&amp;Rules!$B$3&amp;" days",IF(H57&gt;=Rules!$B$2,"idle &gt;= "&amp;Rules!$B$2&amp;" days",""))))</f>
        <v/>
      </c>
      <c r="J57" s="5">
        <f>IF(I57="","",IF(F57="Address issue",0,COUNTIF($I$2:$I$1001,"address issue"))+COUNTIFS($I$2:$I$1001,"?*",$F$2:$F$1001,IF(F57="Address issue","Address issue","&lt;&gt;Address issue"),$H$2:$H$1001,"&gt;"&amp;H57)+1)</f>
        <v/>
      </c>
    </row>
    <row r="58">
      <c r="A58" s="11" t="n">
        <v>100057</v>
      </c>
      <c r="B58" s="11" t="inlineStr">
        <is>
          <t>Мексика</t>
        </is>
      </c>
      <c r="C58" s="11" t="inlineStr">
        <is>
          <t>AndesCargo</t>
        </is>
      </c>
      <c r="D58" s="11" t="inlineStr">
        <is>
          <t>AC74395928</t>
        </is>
      </c>
      <c r="E58" s="12" t="n">
        <v>46297</v>
      </c>
      <c r="F58" s="11" t="inlineStr">
        <is>
          <t>Delivered</t>
        </is>
      </c>
      <c r="G58" s="12" t="n">
        <v>46302</v>
      </c>
      <c r="H58" s="5">
        <f>IF(G58="","",Rules!$B$1-G58)</f>
        <v/>
      </c>
      <c r="I58" s="5">
        <f>IF(F58="Address issue","address issue",IF(OR(F58="Delivered",F58="Returned to sender",G58=""),"",IF(AND(Rules!$B$3&lt;&gt;"",F58="Held at customs",H58&gt;=Rules!$B$3),"customs &gt;= "&amp;Rules!$B$3&amp;" days",IF(H58&gt;=Rules!$B$2,"idle &gt;= "&amp;Rules!$B$2&amp;" days",""))))</f>
        <v/>
      </c>
      <c r="J58" s="5">
        <f>IF(I58="","",IF(F58="Address issue",0,COUNTIF($I$2:$I$1001,"address issue"))+COUNTIFS($I$2:$I$1001,"?*",$F$2:$F$1001,IF(F58="Address issue","Address issue","&lt;&gt;Address issue"),$H$2:$H$1001,"&gt;"&amp;H58)+1)</f>
        <v/>
      </c>
    </row>
    <row r="59">
      <c r="A59" s="11" t="n">
        <v>100058</v>
      </c>
      <c r="B59" s="11" t="inlineStr">
        <is>
          <t>Мексика</t>
        </is>
      </c>
      <c r="C59" s="11" t="inlineStr">
        <is>
          <t>SwiftParcel</t>
        </is>
      </c>
      <c r="D59" s="11" t="inlineStr">
        <is>
          <t>SP1050264</t>
        </is>
      </c>
      <c r="E59" s="12" t="n">
        <v>46285</v>
      </c>
      <c r="F59" s="11" t="inlineStr">
        <is>
          <t>Delivered</t>
        </is>
      </c>
      <c r="G59" s="12" t="n">
        <v>46290</v>
      </c>
      <c r="H59" s="5">
        <f>IF(G59="","",Rules!$B$1-G59)</f>
        <v/>
      </c>
      <c r="I59" s="5">
        <f>IF(F59="Address issue","address issue",IF(OR(F59="Delivered",F59="Returned to sender",G59=""),"",IF(AND(Rules!$B$3&lt;&gt;"",F59="Held at customs",H59&gt;=Rules!$B$3),"customs &gt;= "&amp;Rules!$B$3&amp;" days",IF(H59&gt;=Rules!$B$2,"idle &gt;= "&amp;Rules!$B$2&amp;" days",""))))</f>
        <v/>
      </c>
      <c r="J59" s="5">
        <f>IF(I59="","",IF(F59="Address issue",0,COUNTIF($I$2:$I$1001,"address issue"))+COUNTIFS($I$2:$I$1001,"?*",$F$2:$F$1001,IF(F59="Address issue","Address issue","&lt;&gt;Address issue"),$H$2:$H$1001,"&gt;"&amp;H59)+1)</f>
        <v/>
      </c>
    </row>
    <row r="60">
      <c r="A60" s="11" t="n">
        <v>100059</v>
      </c>
      <c r="B60" s="11" t="inlineStr">
        <is>
          <t>Бразилія</t>
        </is>
      </c>
      <c r="C60" s="11" t="inlineStr">
        <is>
          <t>SwiftParcel</t>
        </is>
      </c>
      <c r="D60" s="11" t="inlineStr">
        <is>
          <t>SP9967190</t>
        </is>
      </c>
      <c r="E60" s="12" t="n">
        <v>46302</v>
      </c>
      <c r="F60" s="11" t="inlineStr">
        <is>
          <t>In transit</t>
        </is>
      </c>
      <c r="G60" s="13" t="n">
        <v>46306</v>
      </c>
      <c r="H60" s="5">
        <f>IF(G60="","",Rules!$B$1-G60)</f>
        <v/>
      </c>
      <c r="I60" s="5">
        <f>IF(F60="Address issue","address issue",IF(OR(F60="Delivered",F60="Returned to sender",G60=""),"",IF(AND(Rules!$B$3&lt;&gt;"",F60="Held at customs",H60&gt;=Rules!$B$3),"customs &gt;= "&amp;Rules!$B$3&amp;" days",IF(H60&gt;=Rules!$B$2,"idle &gt;= "&amp;Rules!$B$2&amp;" days",""))))</f>
        <v/>
      </c>
      <c r="J60" s="5">
        <f>IF(I60="","",IF(F60="Address issue",0,COUNTIF($I$2:$I$1001,"address issue"))+COUNTIFS($I$2:$I$1001,"?*",$F$2:$F$1001,IF(F60="Address issue","Address issue","&lt;&gt;Address issue"),$H$2:$H$1001,"&gt;"&amp;H60)+1)</f>
        <v/>
      </c>
    </row>
    <row r="61">
      <c r="A61" s="11" t="n">
        <v>100060</v>
      </c>
      <c r="B61" s="11" t="inlineStr">
        <is>
          <t>Канада</t>
        </is>
      </c>
      <c r="C61" s="11" t="inlineStr">
        <is>
          <t>PostLink</t>
        </is>
      </c>
      <c r="D61" s="11" t="inlineStr">
        <is>
          <t>PL84200104</t>
        </is>
      </c>
      <c r="E61" s="12" t="n">
        <v>46286</v>
      </c>
      <c r="F61" s="11" t="inlineStr">
        <is>
          <t>Delivered</t>
        </is>
      </c>
      <c r="G61" s="12" t="n">
        <v>46290</v>
      </c>
      <c r="H61" s="5">
        <f>IF(G61="","",Rules!$B$1-G61)</f>
        <v/>
      </c>
      <c r="I61" s="5">
        <f>IF(F61="Address issue","address issue",IF(OR(F61="Delivered",F61="Returned to sender",G61=""),"",IF(AND(Rules!$B$3&lt;&gt;"",F61="Held at customs",H61&gt;=Rules!$B$3),"customs &gt;= "&amp;Rules!$B$3&amp;" days",IF(H61&gt;=Rules!$B$2,"idle &gt;= "&amp;Rules!$B$2&amp;" days",""))))</f>
        <v/>
      </c>
      <c r="J61" s="5">
        <f>IF(I61="","",IF(F61="Address issue",0,COUNTIF($I$2:$I$1001,"address issue"))+COUNTIFS($I$2:$I$1001,"?*",$F$2:$F$1001,IF(F61="Address issue","Address issue","&lt;&gt;Address issue"),$H$2:$H$1001,"&gt;"&amp;H61)+1)</f>
        <v/>
      </c>
    </row>
    <row r="62">
      <c r="A62" s="11" t="n">
        <v>100061</v>
      </c>
      <c r="B62" s="11" t="inlineStr">
        <is>
          <t>Бразилія</t>
        </is>
      </c>
      <c r="C62" s="11" t="inlineStr">
        <is>
          <t>SwiftParcel</t>
        </is>
      </c>
      <c r="D62" s="11" t="inlineStr">
        <is>
          <t>SP5451570</t>
        </is>
      </c>
      <c r="E62" s="12" t="n">
        <v>46296</v>
      </c>
      <c r="F62" s="11" t="inlineStr">
        <is>
          <t>Held at customs</t>
        </is>
      </c>
      <c r="G62" s="12" t="n">
        <v>46298</v>
      </c>
      <c r="H62" s="5">
        <f>IF(G62="","",Rules!$B$1-G62)</f>
        <v/>
      </c>
      <c r="I62" s="5">
        <f>IF(F62="Address issue","address issue",IF(OR(F62="Delivered",F62="Returned to sender",G62=""),"",IF(AND(Rules!$B$3&lt;&gt;"",F62="Held at customs",H62&gt;=Rules!$B$3),"customs &gt;= "&amp;Rules!$B$3&amp;" days",IF(H62&gt;=Rules!$B$2,"idle &gt;= "&amp;Rules!$B$2&amp;" days",""))))</f>
        <v/>
      </c>
      <c r="J62" s="5">
        <f>IF(I62="","",IF(F62="Address issue",0,COUNTIF($I$2:$I$1001,"address issue"))+COUNTIFS($I$2:$I$1001,"?*",$F$2:$F$1001,IF(F62="Address issue","Address issue","&lt;&gt;Address issue"),$H$2:$H$1001,"&gt;"&amp;H62)+1)</f>
        <v/>
      </c>
    </row>
    <row r="63">
      <c r="A63" s="11" t="n">
        <v>100062</v>
      </c>
      <c r="B63" s="11" t="inlineStr">
        <is>
          <t>Мексика</t>
        </is>
      </c>
      <c r="C63" s="11" t="inlineStr">
        <is>
          <t>AndesCargo</t>
        </is>
      </c>
      <c r="D63" s="11" t="inlineStr">
        <is>
          <t>AC38752097</t>
        </is>
      </c>
      <c r="E63" s="12" t="n">
        <v>46282</v>
      </c>
      <c r="F63" s="11" t="inlineStr">
        <is>
          <t>Delivered</t>
        </is>
      </c>
      <c r="G63" s="12" t="n">
        <v>46285</v>
      </c>
      <c r="H63" s="5">
        <f>IF(G63="","",Rules!$B$1-G63)</f>
        <v/>
      </c>
      <c r="I63" s="5">
        <f>IF(F63="Address issue","address issue",IF(OR(F63="Delivered",F63="Returned to sender",G63=""),"",IF(AND(Rules!$B$3&lt;&gt;"",F63="Held at customs",H63&gt;=Rules!$B$3),"customs &gt;= "&amp;Rules!$B$3&amp;" days",IF(H63&gt;=Rules!$B$2,"idle &gt;= "&amp;Rules!$B$2&amp;" days",""))))</f>
        <v/>
      </c>
      <c r="J63" s="5">
        <f>IF(I63="","",IF(F63="Address issue",0,COUNTIF($I$2:$I$1001,"address issue"))+COUNTIFS($I$2:$I$1001,"?*",$F$2:$F$1001,IF(F63="Address issue","Address issue","&lt;&gt;Address issue"),$H$2:$H$1001,"&gt;"&amp;H63)+1)</f>
        <v/>
      </c>
    </row>
    <row r="64">
      <c r="A64" s="11" t="n">
        <v>100063</v>
      </c>
      <c r="B64" s="11" t="inlineStr">
        <is>
          <t>Мексика</t>
        </is>
      </c>
      <c r="C64" s="11" t="inlineStr">
        <is>
          <t>AndesCargo</t>
        </is>
      </c>
      <c r="D64" s="11" t="inlineStr">
        <is>
          <t>AC99751612</t>
        </is>
      </c>
      <c r="E64" s="12" t="n">
        <v>46294</v>
      </c>
      <c r="F64" s="11" t="inlineStr">
        <is>
          <t>Delivered</t>
        </is>
      </c>
      <c r="G64" s="12" t="n">
        <v>46298</v>
      </c>
      <c r="H64" s="5">
        <f>IF(G64="","",Rules!$B$1-G64)</f>
        <v/>
      </c>
      <c r="I64" s="5">
        <f>IF(F64="Address issue","address issue",IF(OR(F64="Delivered",F64="Returned to sender",G64=""),"",IF(AND(Rules!$B$3&lt;&gt;"",F64="Held at customs",H64&gt;=Rules!$B$3),"customs &gt;= "&amp;Rules!$B$3&amp;" days",IF(H64&gt;=Rules!$B$2,"idle &gt;= "&amp;Rules!$B$2&amp;" days",""))))</f>
        <v/>
      </c>
      <c r="J64" s="5">
        <f>IF(I64="","",IF(F64="Address issue",0,COUNTIF($I$2:$I$1001,"address issue"))+COUNTIFS($I$2:$I$1001,"?*",$F$2:$F$1001,IF(F64="Address issue","Address issue","&lt;&gt;Address issue"),$H$2:$H$1001,"&gt;"&amp;H64)+1)</f>
        <v/>
      </c>
    </row>
    <row r="65">
      <c r="A65" s="11" t="n">
        <v>100064</v>
      </c>
      <c r="B65" s="11" t="inlineStr">
        <is>
          <t>Бразилія</t>
        </is>
      </c>
      <c r="C65" s="11" t="inlineStr">
        <is>
          <t>SwiftParcel</t>
        </is>
      </c>
      <c r="D65" s="11" t="inlineStr">
        <is>
          <t>SP9039487</t>
        </is>
      </c>
      <c r="E65" s="13" t="n">
        <v>46305</v>
      </c>
      <c r="F65" s="11" t="inlineStr">
        <is>
          <t>In transit</t>
        </is>
      </c>
      <c r="G65" s="13" t="n">
        <v>46307</v>
      </c>
      <c r="H65" s="5">
        <f>IF(G65="","",Rules!$B$1-G65)</f>
        <v/>
      </c>
      <c r="I65" s="5">
        <f>IF(F65="Address issue","address issue",IF(OR(F65="Delivered",F65="Returned to sender",G65=""),"",IF(AND(Rules!$B$3&lt;&gt;"",F65="Held at customs",H65&gt;=Rules!$B$3),"customs &gt;= "&amp;Rules!$B$3&amp;" days",IF(H65&gt;=Rules!$B$2,"idle &gt;= "&amp;Rules!$B$2&amp;" days",""))))</f>
        <v/>
      </c>
      <c r="J65" s="5">
        <f>IF(I65="","",IF(F65="Address issue",0,COUNTIF($I$2:$I$1001,"address issue"))+COUNTIFS($I$2:$I$1001,"?*",$F$2:$F$1001,IF(F65="Address issue","Address issue","&lt;&gt;Address issue"),$H$2:$H$1001,"&gt;"&amp;H65)+1)</f>
        <v/>
      </c>
    </row>
    <row r="66">
      <c r="A66" s="11" t="n">
        <v>100065</v>
      </c>
      <c r="B66" s="11" t="inlineStr">
        <is>
          <t>Мексика</t>
        </is>
      </c>
      <c r="C66" s="11" t="inlineStr">
        <is>
          <t>AndesCargo</t>
        </is>
      </c>
      <c r="D66" s="11" t="inlineStr">
        <is>
          <t>AC32430926</t>
        </is>
      </c>
      <c r="E66" s="12" t="n">
        <v>46276</v>
      </c>
      <c r="F66" s="11" t="inlineStr">
        <is>
          <t>Delivered</t>
        </is>
      </c>
      <c r="G66" s="12" t="n">
        <v>46282</v>
      </c>
      <c r="H66" s="5">
        <f>IF(G66="","",Rules!$B$1-G66)</f>
        <v/>
      </c>
      <c r="I66" s="5">
        <f>IF(F66="Address issue","address issue",IF(OR(F66="Delivered",F66="Returned to sender",G66=""),"",IF(AND(Rules!$B$3&lt;&gt;"",F66="Held at customs",H66&gt;=Rules!$B$3),"customs &gt;= "&amp;Rules!$B$3&amp;" days",IF(H66&gt;=Rules!$B$2,"idle &gt;= "&amp;Rules!$B$2&amp;" days",""))))</f>
        <v/>
      </c>
      <c r="J66" s="5">
        <f>IF(I66="","",IF(F66="Address issue",0,COUNTIF($I$2:$I$1001,"address issue"))+COUNTIFS($I$2:$I$1001,"?*",$F$2:$F$1001,IF(F66="Address issue","Address issue","&lt;&gt;Address issue"),$H$2:$H$1001,"&gt;"&amp;H66)+1)</f>
        <v/>
      </c>
    </row>
    <row r="67">
      <c r="A67" s="11" t="n">
        <v>100066</v>
      </c>
      <c r="B67" s="11" t="inlineStr">
        <is>
          <t>Мексика</t>
        </is>
      </c>
      <c r="C67" s="11" t="inlineStr">
        <is>
          <t>AndesCargo</t>
        </is>
      </c>
      <c r="D67" s="11" t="inlineStr">
        <is>
          <t>AC48734237</t>
        </is>
      </c>
      <c r="E67" s="12" t="n">
        <v>46271</v>
      </c>
      <c r="F67" s="11" t="inlineStr">
        <is>
          <t>Delivered</t>
        </is>
      </c>
      <c r="G67" s="12" t="n">
        <v>46282</v>
      </c>
      <c r="H67" s="5">
        <f>IF(G67="","",Rules!$B$1-G67)</f>
        <v/>
      </c>
      <c r="I67" s="5">
        <f>IF(F67="Address issue","address issue",IF(OR(F67="Delivered",F67="Returned to sender",G67=""),"",IF(AND(Rules!$B$3&lt;&gt;"",F67="Held at customs",H67&gt;=Rules!$B$3),"customs &gt;= "&amp;Rules!$B$3&amp;" days",IF(H67&gt;=Rules!$B$2,"idle &gt;= "&amp;Rules!$B$2&amp;" days",""))))</f>
        <v/>
      </c>
      <c r="J67" s="5">
        <f>IF(I67="","",IF(F67="Address issue",0,COUNTIF($I$2:$I$1001,"address issue"))+COUNTIFS($I$2:$I$1001,"?*",$F$2:$F$1001,IF(F67="Address issue","Address issue","&lt;&gt;Address issue"),$H$2:$H$1001,"&gt;"&amp;H67)+1)</f>
        <v/>
      </c>
    </row>
    <row r="68">
      <c r="A68" s="11" t="n">
        <v>100067</v>
      </c>
      <c r="B68" s="11" t="inlineStr">
        <is>
          <t>Канада</t>
        </is>
      </c>
      <c r="C68" s="11" t="inlineStr">
        <is>
          <t>PostLink</t>
        </is>
      </c>
      <c r="D68" s="11" t="inlineStr">
        <is>
          <t>PL38806471</t>
        </is>
      </c>
      <c r="E68" s="12" t="n">
        <v>46274</v>
      </c>
      <c r="F68" s="11" t="inlineStr">
        <is>
          <t>Delivered</t>
        </is>
      </c>
      <c r="G68" s="12" t="n">
        <v>46285</v>
      </c>
      <c r="H68" s="5">
        <f>IF(G68="","",Rules!$B$1-G68)</f>
        <v/>
      </c>
      <c r="I68" s="5">
        <f>IF(F68="Address issue","address issue",IF(OR(F68="Delivered",F68="Returned to sender",G68=""),"",IF(AND(Rules!$B$3&lt;&gt;"",F68="Held at customs",H68&gt;=Rules!$B$3),"customs &gt;= "&amp;Rules!$B$3&amp;" days",IF(H68&gt;=Rules!$B$2,"idle &gt;= "&amp;Rules!$B$2&amp;" days",""))))</f>
        <v/>
      </c>
      <c r="J68" s="5">
        <f>IF(I68="","",IF(F68="Address issue",0,COUNTIF($I$2:$I$1001,"address issue"))+COUNTIFS($I$2:$I$1001,"?*",$F$2:$F$1001,IF(F68="Address issue","Address issue","&lt;&gt;Address issue"),$H$2:$H$1001,"&gt;"&amp;H68)+1)</f>
        <v/>
      </c>
    </row>
    <row r="69">
      <c r="A69" s="11" t="n">
        <v>100068</v>
      </c>
      <c r="B69" s="11" t="inlineStr">
        <is>
          <t>Мексика</t>
        </is>
      </c>
      <c r="C69" s="11" t="inlineStr">
        <is>
          <t>AndesCargo</t>
        </is>
      </c>
      <c r="D69" s="11" t="inlineStr">
        <is>
          <t>AC98218945</t>
        </is>
      </c>
      <c r="E69" s="13" t="n">
        <v>46309</v>
      </c>
      <c r="F69" s="11" t="inlineStr">
        <is>
          <t>In transit</t>
        </is>
      </c>
      <c r="G69" s="13" t="n">
        <v>46310</v>
      </c>
      <c r="H69" s="5">
        <f>IF(G69="","",Rules!$B$1-G69)</f>
        <v/>
      </c>
      <c r="I69" s="5">
        <f>IF(F69="Address issue","address issue",IF(OR(F69="Delivered",F69="Returned to sender",G69=""),"",IF(AND(Rules!$B$3&lt;&gt;"",F69="Held at customs",H69&gt;=Rules!$B$3),"customs &gt;= "&amp;Rules!$B$3&amp;" days",IF(H69&gt;=Rules!$B$2,"idle &gt;= "&amp;Rules!$B$2&amp;" days",""))))</f>
        <v/>
      </c>
      <c r="J69" s="5">
        <f>IF(I69="","",IF(F69="Address issue",0,COUNTIF($I$2:$I$1001,"address issue"))+COUNTIFS($I$2:$I$1001,"?*",$F$2:$F$1001,IF(F69="Address issue","Address issue","&lt;&gt;Address issue"),$H$2:$H$1001,"&gt;"&amp;H69)+1)</f>
        <v/>
      </c>
    </row>
    <row r="70">
      <c r="A70" s="11" t="n">
        <v>100069</v>
      </c>
      <c r="B70" s="11" t="inlineStr">
        <is>
          <t>Бразилія</t>
        </is>
      </c>
      <c r="C70" s="11" t="inlineStr">
        <is>
          <t>SwiftParcel</t>
        </is>
      </c>
      <c r="D70" s="11" t="inlineStr">
        <is>
          <t>SP1946885</t>
        </is>
      </c>
      <c r="E70" s="12" t="n">
        <v>46293</v>
      </c>
      <c r="F70" s="11" t="inlineStr">
        <is>
          <t>Held at customs</t>
        </is>
      </c>
      <c r="G70" s="12" t="n">
        <v>46298</v>
      </c>
      <c r="H70" s="5">
        <f>IF(G70="","",Rules!$B$1-G70)</f>
        <v/>
      </c>
      <c r="I70" s="5">
        <f>IF(F70="Address issue","address issue",IF(OR(F70="Delivered",F70="Returned to sender",G70=""),"",IF(AND(Rules!$B$3&lt;&gt;"",F70="Held at customs",H70&gt;=Rules!$B$3),"customs &gt;= "&amp;Rules!$B$3&amp;" days",IF(H70&gt;=Rules!$B$2,"idle &gt;= "&amp;Rules!$B$2&amp;" days",""))))</f>
        <v/>
      </c>
      <c r="J70" s="5">
        <f>IF(I70="","",IF(F70="Address issue",0,COUNTIF($I$2:$I$1001,"address issue"))+COUNTIFS($I$2:$I$1001,"?*",$F$2:$F$1001,IF(F70="Address issue","Address issue","&lt;&gt;Address issue"),$H$2:$H$1001,"&gt;"&amp;H70)+1)</f>
        <v/>
      </c>
    </row>
    <row r="71">
      <c r="A71" s="11" t="n">
        <v>100070</v>
      </c>
      <c r="B71" s="11" t="inlineStr">
        <is>
          <t>Мексика</t>
        </is>
      </c>
      <c r="C71" s="11" t="inlineStr">
        <is>
          <t>AndesCargo</t>
        </is>
      </c>
      <c r="D71" s="11" t="inlineStr">
        <is>
          <t>AC40676825</t>
        </is>
      </c>
      <c r="E71" s="12" t="n">
        <v>46282</v>
      </c>
      <c r="F71" s="11" t="inlineStr">
        <is>
          <t>Delivered</t>
        </is>
      </c>
      <c r="G71" s="12" t="n">
        <v>46286</v>
      </c>
      <c r="H71" s="5">
        <f>IF(G71="","",Rules!$B$1-G71)</f>
        <v/>
      </c>
      <c r="I71" s="5">
        <f>IF(F71="Address issue","address issue",IF(OR(F71="Delivered",F71="Returned to sender",G71=""),"",IF(AND(Rules!$B$3&lt;&gt;"",F71="Held at customs",H71&gt;=Rules!$B$3),"customs &gt;= "&amp;Rules!$B$3&amp;" days",IF(H71&gt;=Rules!$B$2,"idle &gt;= "&amp;Rules!$B$2&amp;" days",""))))</f>
        <v/>
      </c>
      <c r="J71" s="5">
        <f>IF(I71="","",IF(F71="Address issue",0,COUNTIF($I$2:$I$1001,"address issue"))+COUNTIFS($I$2:$I$1001,"?*",$F$2:$F$1001,IF(F71="Address issue","Address issue","&lt;&gt;Address issue"),$H$2:$H$1001,"&gt;"&amp;H71)+1)</f>
        <v/>
      </c>
    </row>
    <row r="72">
      <c r="A72" s="11" t="n">
        <v>100071</v>
      </c>
      <c r="B72" s="11" t="inlineStr">
        <is>
          <t>Канада</t>
        </is>
      </c>
      <c r="C72" s="11" t="inlineStr">
        <is>
          <t>PostLink</t>
        </is>
      </c>
      <c r="D72" s="11" t="inlineStr">
        <is>
          <t>PL29909433</t>
        </is>
      </c>
      <c r="E72" s="12" t="n">
        <v>46294</v>
      </c>
      <c r="F72" s="11" t="inlineStr">
        <is>
          <t>Delivered</t>
        </is>
      </c>
      <c r="G72" s="12" t="n">
        <v>46303</v>
      </c>
      <c r="H72" s="5">
        <f>IF(G72="","",Rules!$B$1-G72)</f>
        <v/>
      </c>
      <c r="I72" s="5">
        <f>IF(F72="Address issue","address issue",IF(OR(F72="Delivered",F72="Returned to sender",G72=""),"",IF(AND(Rules!$B$3&lt;&gt;"",F72="Held at customs",H72&gt;=Rules!$B$3),"customs &gt;= "&amp;Rules!$B$3&amp;" days",IF(H72&gt;=Rules!$B$2,"idle &gt;= "&amp;Rules!$B$2&amp;" days",""))))</f>
        <v/>
      </c>
      <c r="J72" s="5">
        <f>IF(I72="","",IF(F72="Address issue",0,COUNTIF($I$2:$I$1001,"address issue"))+COUNTIFS($I$2:$I$1001,"?*",$F$2:$F$1001,IF(F72="Address issue","Address issue","&lt;&gt;Address issue"),$H$2:$H$1001,"&gt;"&amp;H72)+1)</f>
        <v/>
      </c>
    </row>
    <row r="73">
      <c r="A73" s="11" t="n">
        <v>100072</v>
      </c>
      <c r="B73" s="11" t="inlineStr">
        <is>
          <t>Мексика</t>
        </is>
      </c>
      <c r="C73" s="11" t="inlineStr">
        <is>
          <t>AndesCargo</t>
        </is>
      </c>
      <c r="D73" s="11" t="inlineStr">
        <is>
          <t>AC17842328</t>
        </is>
      </c>
      <c r="E73" s="12" t="n">
        <v>46281</v>
      </c>
      <c r="F73" s="11" t="inlineStr">
        <is>
          <t>Delivered</t>
        </is>
      </c>
      <c r="G73" s="12" t="n">
        <v>46293</v>
      </c>
      <c r="H73" s="5">
        <f>IF(G73="","",Rules!$B$1-G73)</f>
        <v/>
      </c>
      <c r="I73" s="5">
        <f>IF(F73="Address issue","address issue",IF(OR(F73="Delivered",F73="Returned to sender",G73=""),"",IF(AND(Rules!$B$3&lt;&gt;"",F73="Held at customs",H73&gt;=Rules!$B$3),"customs &gt;= "&amp;Rules!$B$3&amp;" days",IF(H73&gt;=Rules!$B$2,"idle &gt;= "&amp;Rules!$B$2&amp;" days",""))))</f>
        <v/>
      </c>
      <c r="J73" s="5">
        <f>IF(I73="","",IF(F73="Address issue",0,COUNTIF($I$2:$I$1001,"address issue"))+COUNTIFS($I$2:$I$1001,"?*",$F$2:$F$1001,IF(F73="Address issue","Address issue","&lt;&gt;Address issue"),$H$2:$H$1001,"&gt;"&amp;H73)+1)</f>
        <v/>
      </c>
    </row>
    <row r="74">
      <c r="A74" s="11" t="n">
        <v>100073</v>
      </c>
      <c r="B74" s="11" t="inlineStr">
        <is>
          <t>Канада</t>
        </is>
      </c>
      <c r="C74" s="11" t="inlineStr">
        <is>
          <t>PostLink</t>
        </is>
      </c>
      <c r="D74" s="11" t="inlineStr">
        <is>
          <t>PL52352674</t>
        </is>
      </c>
      <c r="E74" s="12" t="n">
        <v>46297</v>
      </c>
      <c r="F74" s="11" t="inlineStr">
        <is>
          <t>Delivered</t>
        </is>
      </c>
      <c r="G74" s="13" t="n">
        <v>46306</v>
      </c>
      <c r="H74" s="5">
        <f>IF(G74="","",Rules!$B$1-G74)</f>
        <v/>
      </c>
      <c r="I74" s="5">
        <f>IF(F74="Address issue","address issue",IF(OR(F74="Delivered",F74="Returned to sender",G74=""),"",IF(AND(Rules!$B$3&lt;&gt;"",F74="Held at customs",H74&gt;=Rules!$B$3),"customs &gt;= "&amp;Rules!$B$3&amp;" days",IF(H74&gt;=Rules!$B$2,"idle &gt;= "&amp;Rules!$B$2&amp;" days",""))))</f>
        <v/>
      </c>
      <c r="J74" s="5">
        <f>IF(I74="","",IF(F74="Address issue",0,COUNTIF($I$2:$I$1001,"address issue"))+COUNTIFS($I$2:$I$1001,"?*",$F$2:$F$1001,IF(F74="Address issue","Address issue","&lt;&gt;Address issue"),$H$2:$H$1001,"&gt;"&amp;H74)+1)</f>
        <v/>
      </c>
    </row>
    <row r="75">
      <c r="A75" s="11" t="n">
        <v>100074</v>
      </c>
      <c r="B75" s="11" t="inlineStr">
        <is>
          <t>Мексика</t>
        </is>
      </c>
      <c r="C75" s="11" t="inlineStr">
        <is>
          <t>AndesCargo</t>
        </is>
      </c>
      <c r="D75" s="11" t="inlineStr">
        <is>
          <t>AC59349764</t>
        </is>
      </c>
      <c r="E75" s="12" t="n">
        <v>46301</v>
      </c>
      <c r="F75" s="11" t="inlineStr">
        <is>
          <t>In transit</t>
        </is>
      </c>
      <c r="G75" s="13" t="n">
        <v>46309</v>
      </c>
      <c r="H75" s="5">
        <f>IF(G75="","",Rules!$B$1-G75)</f>
        <v/>
      </c>
      <c r="I75" s="5">
        <f>IF(F75="Address issue","address issue",IF(OR(F75="Delivered",F75="Returned to sender",G75=""),"",IF(AND(Rules!$B$3&lt;&gt;"",F75="Held at customs",H75&gt;=Rules!$B$3),"customs &gt;= "&amp;Rules!$B$3&amp;" days",IF(H75&gt;=Rules!$B$2,"idle &gt;= "&amp;Rules!$B$2&amp;" days",""))))</f>
        <v/>
      </c>
      <c r="J75" s="5">
        <f>IF(I75="","",IF(F75="Address issue",0,COUNTIF($I$2:$I$1001,"address issue"))+COUNTIFS($I$2:$I$1001,"?*",$F$2:$F$1001,IF(F75="Address issue","Address issue","&lt;&gt;Address issue"),$H$2:$H$1001,"&gt;"&amp;H75)+1)</f>
        <v/>
      </c>
    </row>
    <row r="76">
      <c r="A76" s="11" t="n">
        <v>100075</v>
      </c>
      <c r="B76" s="11" t="inlineStr">
        <is>
          <t>Бразилія</t>
        </is>
      </c>
      <c r="C76" s="11" t="inlineStr">
        <is>
          <t>SwiftParcel</t>
        </is>
      </c>
      <c r="D76" s="11" t="inlineStr">
        <is>
          <t>SP4040093</t>
        </is>
      </c>
      <c r="E76" s="12" t="n">
        <v>46293</v>
      </c>
      <c r="F76" s="11" t="inlineStr">
        <is>
          <t>Delivered</t>
        </is>
      </c>
      <c r="G76" s="13" t="n">
        <v>46305</v>
      </c>
      <c r="H76" s="5">
        <f>IF(G76="","",Rules!$B$1-G76)</f>
        <v/>
      </c>
      <c r="I76" s="5">
        <f>IF(F76="Address issue","address issue",IF(OR(F76="Delivered",F76="Returned to sender",G76=""),"",IF(AND(Rules!$B$3&lt;&gt;"",F76="Held at customs",H76&gt;=Rules!$B$3),"customs &gt;= "&amp;Rules!$B$3&amp;" days",IF(H76&gt;=Rules!$B$2,"idle &gt;= "&amp;Rules!$B$2&amp;" days",""))))</f>
        <v/>
      </c>
      <c r="J76" s="5">
        <f>IF(I76="","",IF(F76="Address issue",0,COUNTIF($I$2:$I$1001,"address issue"))+COUNTIFS($I$2:$I$1001,"?*",$F$2:$F$1001,IF(F76="Address issue","Address issue","&lt;&gt;Address issue"),$H$2:$H$1001,"&gt;"&amp;H76)+1)</f>
        <v/>
      </c>
    </row>
    <row r="77">
      <c r="A77" s="11" t="n">
        <v>100076</v>
      </c>
      <c r="B77" s="11" t="inlineStr">
        <is>
          <t>Мексика</t>
        </is>
      </c>
      <c r="C77" s="11" t="inlineStr">
        <is>
          <t>AndesCargo</t>
        </is>
      </c>
      <c r="D77" s="11" t="inlineStr">
        <is>
          <t>AC77638546</t>
        </is>
      </c>
      <c r="E77" s="13" t="n">
        <v>46308</v>
      </c>
      <c r="F77" s="11" t="inlineStr">
        <is>
          <t>In transit</t>
        </is>
      </c>
      <c r="G77" s="13" t="n">
        <v>46309</v>
      </c>
      <c r="H77" s="5">
        <f>IF(G77="","",Rules!$B$1-G77)</f>
        <v/>
      </c>
      <c r="I77" s="5">
        <f>IF(F77="Address issue","address issue",IF(OR(F77="Delivered",F77="Returned to sender",G77=""),"",IF(AND(Rules!$B$3&lt;&gt;"",F77="Held at customs",H77&gt;=Rules!$B$3),"customs &gt;= "&amp;Rules!$B$3&amp;" days",IF(H77&gt;=Rules!$B$2,"idle &gt;= "&amp;Rules!$B$2&amp;" days",""))))</f>
        <v/>
      </c>
      <c r="J77" s="5">
        <f>IF(I77="","",IF(F77="Address issue",0,COUNTIF($I$2:$I$1001,"address issue"))+COUNTIFS($I$2:$I$1001,"?*",$F$2:$F$1001,IF(F77="Address issue","Address issue","&lt;&gt;Address issue"),$H$2:$H$1001,"&gt;"&amp;H77)+1)</f>
        <v/>
      </c>
    </row>
    <row r="78">
      <c r="A78" s="11" t="n">
        <v>100077</v>
      </c>
      <c r="B78" s="11" t="inlineStr">
        <is>
          <t>Бразилія</t>
        </is>
      </c>
      <c r="C78" s="11" t="inlineStr">
        <is>
          <t>SwiftParcel</t>
        </is>
      </c>
      <c r="D78" s="11" t="inlineStr">
        <is>
          <t>SP6290969</t>
        </is>
      </c>
      <c r="E78" s="12" t="n">
        <v>46300</v>
      </c>
      <c r="F78" s="11" t="inlineStr">
        <is>
          <t>In transit</t>
        </is>
      </c>
      <c r="G78" s="12" t="n">
        <v>46304</v>
      </c>
      <c r="H78" s="5">
        <f>IF(G78="","",Rules!$B$1-G78)</f>
        <v/>
      </c>
      <c r="I78" s="5">
        <f>IF(F78="Address issue","address issue",IF(OR(F78="Delivered",F78="Returned to sender",G78=""),"",IF(AND(Rules!$B$3&lt;&gt;"",F78="Held at customs",H78&gt;=Rules!$B$3),"customs &gt;= "&amp;Rules!$B$3&amp;" days",IF(H78&gt;=Rules!$B$2,"idle &gt;= "&amp;Rules!$B$2&amp;" days",""))))</f>
        <v/>
      </c>
      <c r="J78" s="5">
        <f>IF(I78="","",IF(F78="Address issue",0,COUNTIF($I$2:$I$1001,"address issue"))+COUNTIFS($I$2:$I$1001,"?*",$F$2:$F$1001,IF(F78="Address issue","Address issue","&lt;&gt;Address issue"),$H$2:$H$1001,"&gt;"&amp;H78)+1)</f>
        <v/>
      </c>
    </row>
    <row r="79">
      <c r="A79" s="11" t="n">
        <v>100078</v>
      </c>
      <c r="B79" s="11" t="inlineStr">
        <is>
          <t>Бразилія</t>
        </is>
      </c>
      <c r="C79" s="11" t="inlineStr">
        <is>
          <t>SwiftParcel</t>
        </is>
      </c>
      <c r="D79" s="11" t="inlineStr">
        <is>
          <t>SP4775340</t>
        </is>
      </c>
      <c r="E79" s="12" t="n">
        <v>46296</v>
      </c>
      <c r="F79" s="11" t="inlineStr">
        <is>
          <t>In transit</t>
        </is>
      </c>
      <c r="G79" s="12" t="n">
        <v>46301</v>
      </c>
      <c r="H79" s="5">
        <f>IF(G79="","",Rules!$B$1-G79)</f>
        <v/>
      </c>
      <c r="I79" s="5">
        <f>IF(F79="Address issue","address issue",IF(OR(F79="Delivered",F79="Returned to sender",G79=""),"",IF(AND(Rules!$B$3&lt;&gt;"",F79="Held at customs",H79&gt;=Rules!$B$3),"customs &gt;= "&amp;Rules!$B$3&amp;" days",IF(H79&gt;=Rules!$B$2,"idle &gt;= "&amp;Rules!$B$2&amp;" days",""))))</f>
        <v/>
      </c>
      <c r="J79" s="5">
        <f>IF(I79="","",IF(F79="Address issue",0,COUNTIF($I$2:$I$1001,"address issue"))+COUNTIFS($I$2:$I$1001,"?*",$F$2:$F$1001,IF(F79="Address issue","Address issue","&lt;&gt;Address issue"),$H$2:$H$1001,"&gt;"&amp;H79)+1)</f>
        <v/>
      </c>
    </row>
    <row r="80">
      <c r="A80" s="11" t="n">
        <v>100079</v>
      </c>
      <c r="B80" s="11" t="inlineStr">
        <is>
          <t>Мексика</t>
        </is>
      </c>
      <c r="C80" s="11" t="inlineStr">
        <is>
          <t>AndesCargo</t>
        </is>
      </c>
      <c r="D80" s="11" t="inlineStr">
        <is>
          <t>AC25587709</t>
        </is>
      </c>
      <c r="E80" s="12" t="n">
        <v>46303</v>
      </c>
      <c r="F80" s="11" t="inlineStr">
        <is>
          <t>In transit</t>
        </is>
      </c>
      <c r="G80" s="13" t="n">
        <v>46306</v>
      </c>
      <c r="H80" s="5">
        <f>IF(G80="","",Rules!$B$1-G80)</f>
        <v/>
      </c>
      <c r="I80" s="5">
        <f>IF(F80="Address issue","address issue",IF(OR(F80="Delivered",F80="Returned to sender",G80=""),"",IF(AND(Rules!$B$3&lt;&gt;"",F80="Held at customs",H80&gt;=Rules!$B$3),"customs &gt;= "&amp;Rules!$B$3&amp;" days",IF(H80&gt;=Rules!$B$2,"idle &gt;= "&amp;Rules!$B$2&amp;" days",""))))</f>
        <v/>
      </c>
      <c r="J80" s="5">
        <f>IF(I80="","",IF(F80="Address issue",0,COUNTIF($I$2:$I$1001,"address issue"))+COUNTIFS($I$2:$I$1001,"?*",$F$2:$F$1001,IF(F80="Address issue","Address issue","&lt;&gt;Address issue"),$H$2:$H$1001,"&gt;"&amp;H80)+1)</f>
        <v/>
      </c>
    </row>
    <row r="81">
      <c r="A81" s="11" t="n">
        <v>100080</v>
      </c>
      <c r="B81" s="11" t="inlineStr">
        <is>
          <t>Мексика</t>
        </is>
      </c>
      <c r="C81" s="11" t="inlineStr">
        <is>
          <t>AndesCargo</t>
        </is>
      </c>
      <c r="D81" s="11" t="inlineStr">
        <is>
          <t>AC66675388</t>
        </is>
      </c>
      <c r="E81" s="12" t="n">
        <v>46285</v>
      </c>
      <c r="F81" s="11" t="inlineStr">
        <is>
          <t>Delivered</t>
        </is>
      </c>
      <c r="G81" s="12" t="n">
        <v>46292</v>
      </c>
      <c r="H81" s="5">
        <f>IF(G81="","",Rules!$B$1-G81)</f>
        <v/>
      </c>
      <c r="I81" s="5">
        <f>IF(F81="Address issue","address issue",IF(OR(F81="Delivered",F81="Returned to sender",G81=""),"",IF(AND(Rules!$B$3&lt;&gt;"",F81="Held at customs",H81&gt;=Rules!$B$3),"customs &gt;= "&amp;Rules!$B$3&amp;" days",IF(H81&gt;=Rules!$B$2,"idle &gt;= "&amp;Rules!$B$2&amp;" days",""))))</f>
        <v/>
      </c>
      <c r="J81" s="5">
        <f>IF(I81="","",IF(F81="Address issue",0,COUNTIF($I$2:$I$1001,"address issue"))+COUNTIFS($I$2:$I$1001,"?*",$F$2:$F$1001,IF(F81="Address issue","Address issue","&lt;&gt;Address issue"),$H$2:$H$1001,"&gt;"&amp;H81)+1)</f>
        <v/>
      </c>
    </row>
    <row r="82">
      <c r="A82" s="11" t="n">
        <v>100081</v>
      </c>
      <c r="B82" s="11" t="inlineStr">
        <is>
          <t>Канада</t>
        </is>
      </c>
      <c r="C82" s="11" t="inlineStr">
        <is>
          <t>PostLink</t>
        </is>
      </c>
      <c r="D82" s="11" t="inlineStr">
        <is>
          <t>PL21350180</t>
        </is>
      </c>
      <c r="E82" s="12" t="n">
        <v>46300</v>
      </c>
      <c r="F82" s="11" t="inlineStr">
        <is>
          <t>In transit</t>
        </is>
      </c>
      <c r="G82" s="12" t="n">
        <v>46304</v>
      </c>
      <c r="H82" s="5">
        <f>IF(G82="","",Rules!$B$1-G82)</f>
        <v/>
      </c>
      <c r="I82" s="5">
        <f>IF(F82="Address issue","address issue",IF(OR(F82="Delivered",F82="Returned to sender",G82=""),"",IF(AND(Rules!$B$3&lt;&gt;"",F82="Held at customs",H82&gt;=Rules!$B$3),"customs &gt;= "&amp;Rules!$B$3&amp;" days",IF(H82&gt;=Rules!$B$2,"idle &gt;= "&amp;Rules!$B$2&amp;" days",""))))</f>
        <v/>
      </c>
      <c r="J82" s="5">
        <f>IF(I82="","",IF(F82="Address issue",0,COUNTIF($I$2:$I$1001,"address issue"))+COUNTIFS($I$2:$I$1001,"?*",$F$2:$F$1001,IF(F82="Address issue","Address issue","&lt;&gt;Address issue"),$H$2:$H$1001,"&gt;"&amp;H82)+1)</f>
        <v/>
      </c>
    </row>
    <row r="83">
      <c r="A83" s="11" t="n">
        <v>100082</v>
      </c>
      <c r="B83" s="11" t="inlineStr">
        <is>
          <t>Мексика</t>
        </is>
      </c>
      <c r="C83" s="11" t="inlineStr">
        <is>
          <t>SwiftParcel</t>
        </is>
      </c>
      <c r="D83" s="11" t="inlineStr">
        <is>
          <t>SP5514317</t>
        </is>
      </c>
      <c r="E83" s="12" t="n">
        <v>46282</v>
      </c>
      <c r="F83" s="11" t="inlineStr">
        <is>
          <t>Delivered</t>
        </is>
      </c>
      <c r="G83" s="12" t="n">
        <v>46290</v>
      </c>
      <c r="H83" s="5">
        <f>IF(G83="","",Rules!$B$1-G83)</f>
        <v/>
      </c>
      <c r="I83" s="5">
        <f>IF(F83="Address issue","address issue",IF(OR(F83="Delivered",F83="Returned to sender",G83=""),"",IF(AND(Rules!$B$3&lt;&gt;"",F83="Held at customs",H83&gt;=Rules!$B$3),"customs &gt;= "&amp;Rules!$B$3&amp;" days",IF(H83&gt;=Rules!$B$2,"idle &gt;= "&amp;Rules!$B$2&amp;" days",""))))</f>
        <v/>
      </c>
      <c r="J83" s="5">
        <f>IF(I83="","",IF(F83="Address issue",0,COUNTIF($I$2:$I$1001,"address issue"))+COUNTIFS($I$2:$I$1001,"?*",$F$2:$F$1001,IF(F83="Address issue","Address issue","&lt;&gt;Address issue"),$H$2:$H$1001,"&gt;"&amp;H83)+1)</f>
        <v/>
      </c>
    </row>
    <row r="84">
      <c r="A84" s="11" t="n">
        <v>100083</v>
      </c>
      <c r="B84" s="11" t="inlineStr">
        <is>
          <t>Мексика</t>
        </is>
      </c>
      <c r="C84" s="11" t="inlineStr">
        <is>
          <t>AndesCargo</t>
        </is>
      </c>
      <c r="D84" s="11" t="inlineStr">
        <is>
          <t>AC54269625</t>
        </is>
      </c>
      <c r="E84" s="13" t="n">
        <v>46306</v>
      </c>
      <c r="F84" s="11" t="inlineStr">
        <is>
          <t>Delivered</t>
        </is>
      </c>
      <c r="G84" s="13" t="n">
        <v>46310</v>
      </c>
      <c r="H84" s="5">
        <f>IF(G84="","",Rules!$B$1-G84)</f>
        <v/>
      </c>
      <c r="I84" s="5">
        <f>IF(F84="Address issue","address issue",IF(OR(F84="Delivered",F84="Returned to sender",G84=""),"",IF(AND(Rules!$B$3&lt;&gt;"",F84="Held at customs",H84&gt;=Rules!$B$3),"customs &gt;= "&amp;Rules!$B$3&amp;" days",IF(H84&gt;=Rules!$B$2,"idle &gt;= "&amp;Rules!$B$2&amp;" days",""))))</f>
        <v/>
      </c>
      <c r="J84" s="5">
        <f>IF(I84="","",IF(F84="Address issue",0,COUNTIF($I$2:$I$1001,"address issue"))+COUNTIFS($I$2:$I$1001,"?*",$F$2:$F$1001,IF(F84="Address issue","Address issue","&lt;&gt;Address issue"),$H$2:$H$1001,"&gt;"&amp;H84)+1)</f>
        <v/>
      </c>
    </row>
    <row r="85">
      <c r="A85" s="11" t="n">
        <v>100084</v>
      </c>
      <c r="B85" s="11" t="inlineStr">
        <is>
          <t>Канада</t>
        </is>
      </c>
      <c r="C85" s="11" t="inlineStr">
        <is>
          <t>PostLink</t>
        </is>
      </c>
      <c r="D85" s="11" t="inlineStr">
        <is>
          <t>PL87042077</t>
        </is>
      </c>
      <c r="E85" s="12" t="n">
        <v>46277</v>
      </c>
      <c r="F85" s="11" t="inlineStr">
        <is>
          <t>Delivered</t>
        </is>
      </c>
      <c r="G85" s="12" t="n">
        <v>46282</v>
      </c>
      <c r="H85" s="5">
        <f>IF(G85="","",Rules!$B$1-G85)</f>
        <v/>
      </c>
      <c r="I85" s="5">
        <f>IF(F85="Address issue","address issue",IF(OR(F85="Delivered",F85="Returned to sender",G85=""),"",IF(AND(Rules!$B$3&lt;&gt;"",F85="Held at customs",H85&gt;=Rules!$B$3),"customs &gt;= "&amp;Rules!$B$3&amp;" days",IF(H85&gt;=Rules!$B$2,"idle &gt;= "&amp;Rules!$B$2&amp;" days",""))))</f>
        <v/>
      </c>
      <c r="J85" s="5">
        <f>IF(I85="","",IF(F85="Address issue",0,COUNTIF($I$2:$I$1001,"address issue"))+COUNTIFS($I$2:$I$1001,"?*",$F$2:$F$1001,IF(F85="Address issue","Address issue","&lt;&gt;Address issue"),$H$2:$H$1001,"&gt;"&amp;H85)+1)</f>
        <v/>
      </c>
    </row>
    <row r="86">
      <c r="A86" s="11" t="n">
        <v>100085</v>
      </c>
      <c r="B86" s="11" t="inlineStr">
        <is>
          <t>Канада</t>
        </is>
      </c>
      <c r="C86" s="11" t="inlineStr">
        <is>
          <t>PostLink</t>
        </is>
      </c>
      <c r="D86" s="11" t="inlineStr">
        <is>
          <t>PL50263461</t>
        </is>
      </c>
      <c r="E86" s="12" t="n">
        <v>46283</v>
      </c>
      <c r="F86" s="11" t="inlineStr">
        <is>
          <t>Delivered</t>
        </is>
      </c>
      <c r="G86" s="12" t="n">
        <v>46287</v>
      </c>
      <c r="H86" s="5">
        <f>IF(G86="","",Rules!$B$1-G86)</f>
        <v/>
      </c>
      <c r="I86" s="5">
        <f>IF(F86="Address issue","address issue",IF(OR(F86="Delivered",F86="Returned to sender",G86=""),"",IF(AND(Rules!$B$3&lt;&gt;"",F86="Held at customs",H86&gt;=Rules!$B$3),"customs &gt;= "&amp;Rules!$B$3&amp;" days",IF(H86&gt;=Rules!$B$2,"idle &gt;= "&amp;Rules!$B$2&amp;" days",""))))</f>
        <v/>
      </c>
      <c r="J86" s="5">
        <f>IF(I86="","",IF(F86="Address issue",0,COUNTIF($I$2:$I$1001,"address issue"))+COUNTIFS($I$2:$I$1001,"?*",$F$2:$F$1001,IF(F86="Address issue","Address issue","&lt;&gt;Address issue"),$H$2:$H$1001,"&gt;"&amp;H86)+1)</f>
        <v/>
      </c>
    </row>
    <row r="87">
      <c r="A87" s="11" t="n">
        <v>100086</v>
      </c>
      <c r="B87" s="11" t="inlineStr">
        <is>
          <t>Мексика</t>
        </is>
      </c>
      <c r="C87" s="11" t="inlineStr">
        <is>
          <t>AndesCargo</t>
        </is>
      </c>
      <c r="D87" s="11" t="inlineStr">
        <is>
          <t>AC14183563</t>
        </is>
      </c>
      <c r="E87" s="12" t="n">
        <v>46301</v>
      </c>
      <c r="F87" s="11" t="inlineStr">
        <is>
          <t>Delivered</t>
        </is>
      </c>
      <c r="G87" s="13" t="n">
        <v>46309</v>
      </c>
      <c r="H87" s="5">
        <f>IF(G87="","",Rules!$B$1-G87)</f>
        <v/>
      </c>
      <c r="I87" s="5">
        <f>IF(F87="Address issue","address issue",IF(OR(F87="Delivered",F87="Returned to sender",G87=""),"",IF(AND(Rules!$B$3&lt;&gt;"",F87="Held at customs",H87&gt;=Rules!$B$3),"customs &gt;= "&amp;Rules!$B$3&amp;" days",IF(H87&gt;=Rules!$B$2,"idle &gt;= "&amp;Rules!$B$2&amp;" days",""))))</f>
        <v/>
      </c>
      <c r="J87" s="5">
        <f>IF(I87="","",IF(F87="Address issue",0,COUNTIF($I$2:$I$1001,"address issue"))+COUNTIFS($I$2:$I$1001,"?*",$F$2:$F$1001,IF(F87="Address issue","Address issue","&lt;&gt;Address issue"),$H$2:$H$1001,"&gt;"&amp;H87)+1)</f>
        <v/>
      </c>
    </row>
    <row r="88">
      <c r="A88" s="11" t="n">
        <v>100087</v>
      </c>
      <c r="B88" s="11" t="inlineStr">
        <is>
          <t>Канада</t>
        </is>
      </c>
      <c r="C88" s="11" t="inlineStr">
        <is>
          <t>PostLink</t>
        </is>
      </c>
      <c r="D88" s="11" t="inlineStr">
        <is>
          <t>PL22597847</t>
        </is>
      </c>
      <c r="E88" s="12" t="n">
        <v>46301</v>
      </c>
      <c r="F88" s="11" t="inlineStr">
        <is>
          <t>Out for delivery</t>
        </is>
      </c>
      <c r="G88" s="13" t="n">
        <v>46305</v>
      </c>
      <c r="H88" s="5">
        <f>IF(G88="","",Rules!$B$1-G88)</f>
        <v/>
      </c>
      <c r="I88" s="5">
        <f>IF(F88="Address issue","address issue",IF(OR(F88="Delivered",F88="Returned to sender",G88=""),"",IF(AND(Rules!$B$3&lt;&gt;"",F88="Held at customs",H88&gt;=Rules!$B$3),"customs &gt;= "&amp;Rules!$B$3&amp;" days",IF(H88&gt;=Rules!$B$2,"idle &gt;= "&amp;Rules!$B$2&amp;" days",""))))</f>
        <v/>
      </c>
      <c r="J88" s="5">
        <f>IF(I88="","",IF(F88="Address issue",0,COUNTIF($I$2:$I$1001,"address issue"))+COUNTIFS($I$2:$I$1001,"?*",$F$2:$F$1001,IF(F88="Address issue","Address issue","&lt;&gt;Address issue"),$H$2:$H$1001,"&gt;"&amp;H88)+1)</f>
        <v/>
      </c>
    </row>
    <row r="89">
      <c r="A89" s="11" t="n">
        <v>100088</v>
      </c>
      <c r="B89" s="11" t="inlineStr">
        <is>
          <t>Мексика</t>
        </is>
      </c>
      <c r="C89" s="11" t="inlineStr">
        <is>
          <t>AndesCargo</t>
        </is>
      </c>
      <c r="D89" s="11" t="inlineStr">
        <is>
          <t>AC25060853</t>
        </is>
      </c>
      <c r="E89" s="12" t="n">
        <v>46286</v>
      </c>
      <c r="F89" s="11" t="inlineStr">
        <is>
          <t>Delivered</t>
        </is>
      </c>
      <c r="G89" s="12" t="n">
        <v>46294</v>
      </c>
      <c r="H89" s="5">
        <f>IF(G89="","",Rules!$B$1-G89)</f>
        <v/>
      </c>
      <c r="I89" s="5">
        <f>IF(F89="Address issue","address issue",IF(OR(F89="Delivered",F89="Returned to sender",G89=""),"",IF(AND(Rules!$B$3&lt;&gt;"",F89="Held at customs",H89&gt;=Rules!$B$3),"customs &gt;= "&amp;Rules!$B$3&amp;" days",IF(H89&gt;=Rules!$B$2,"idle &gt;= "&amp;Rules!$B$2&amp;" days",""))))</f>
        <v/>
      </c>
      <c r="J89" s="5">
        <f>IF(I89="","",IF(F89="Address issue",0,COUNTIF($I$2:$I$1001,"address issue"))+COUNTIFS($I$2:$I$1001,"?*",$F$2:$F$1001,IF(F89="Address issue","Address issue","&lt;&gt;Address issue"),$H$2:$H$1001,"&gt;"&amp;H89)+1)</f>
        <v/>
      </c>
    </row>
    <row r="90">
      <c r="A90" s="11" t="n">
        <v>100089</v>
      </c>
      <c r="B90" s="11" t="inlineStr">
        <is>
          <t>Бразилія</t>
        </is>
      </c>
      <c r="C90" s="11" t="inlineStr">
        <is>
          <t>SwiftParcel</t>
        </is>
      </c>
      <c r="D90" s="11" t="inlineStr">
        <is>
          <t>SP5547964</t>
        </is>
      </c>
      <c r="E90" s="12" t="n">
        <v>46296</v>
      </c>
      <c r="F90" s="11" t="inlineStr">
        <is>
          <t>Held at customs</t>
        </is>
      </c>
      <c r="G90" s="12" t="n">
        <v>46299</v>
      </c>
      <c r="H90" s="5">
        <f>IF(G90="","",Rules!$B$1-G90)</f>
        <v/>
      </c>
      <c r="I90" s="5">
        <f>IF(F90="Address issue","address issue",IF(OR(F90="Delivered",F90="Returned to sender",G90=""),"",IF(AND(Rules!$B$3&lt;&gt;"",F90="Held at customs",H90&gt;=Rules!$B$3),"customs &gt;= "&amp;Rules!$B$3&amp;" days",IF(H90&gt;=Rules!$B$2,"idle &gt;= "&amp;Rules!$B$2&amp;" days",""))))</f>
        <v/>
      </c>
      <c r="J90" s="5">
        <f>IF(I90="","",IF(F90="Address issue",0,COUNTIF($I$2:$I$1001,"address issue"))+COUNTIFS($I$2:$I$1001,"?*",$F$2:$F$1001,IF(F90="Address issue","Address issue","&lt;&gt;Address issue"),$H$2:$H$1001,"&gt;"&amp;H90)+1)</f>
        <v/>
      </c>
    </row>
    <row r="91">
      <c r="A91" s="11" t="n">
        <v>100090</v>
      </c>
      <c r="B91" s="11" t="inlineStr">
        <is>
          <t>Бразилія</t>
        </is>
      </c>
      <c r="C91" s="11" t="inlineStr">
        <is>
          <t>SwiftParcel</t>
        </is>
      </c>
      <c r="D91" s="11" t="inlineStr">
        <is>
          <t>SP8024974</t>
        </is>
      </c>
      <c r="E91" s="12" t="n">
        <v>46298</v>
      </c>
      <c r="F91" s="11" t="inlineStr">
        <is>
          <t>In transit</t>
        </is>
      </c>
      <c r="G91" s="13" t="n">
        <v>46306</v>
      </c>
      <c r="H91" s="5">
        <f>IF(G91="","",Rules!$B$1-G91)</f>
        <v/>
      </c>
      <c r="I91" s="5">
        <f>IF(F91="Address issue","address issue",IF(OR(F91="Delivered",F91="Returned to sender",G91=""),"",IF(AND(Rules!$B$3&lt;&gt;"",F91="Held at customs",H91&gt;=Rules!$B$3),"customs &gt;= "&amp;Rules!$B$3&amp;" days",IF(H91&gt;=Rules!$B$2,"idle &gt;= "&amp;Rules!$B$2&amp;" days",""))))</f>
        <v/>
      </c>
      <c r="J91" s="5">
        <f>IF(I91="","",IF(F91="Address issue",0,COUNTIF($I$2:$I$1001,"address issue"))+COUNTIFS($I$2:$I$1001,"?*",$F$2:$F$1001,IF(F91="Address issue","Address issue","&lt;&gt;Address issue"),$H$2:$H$1001,"&gt;"&amp;H91)+1)</f>
        <v/>
      </c>
    </row>
    <row r="92">
      <c r="A92" s="11" t="n">
        <v>100091</v>
      </c>
      <c r="B92" s="11" t="inlineStr">
        <is>
          <t>Канада</t>
        </is>
      </c>
      <c r="C92" s="11" t="inlineStr">
        <is>
          <t>PostLink</t>
        </is>
      </c>
      <c r="D92" s="11" t="inlineStr">
        <is>
          <t>PL94923503</t>
        </is>
      </c>
      <c r="E92" s="12" t="n">
        <v>46276</v>
      </c>
      <c r="F92" s="11" t="inlineStr">
        <is>
          <t>Delivered</t>
        </is>
      </c>
      <c r="G92" s="12" t="n">
        <v>46282</v>
      </c>
      <c r="H92" s="5">
        <f>IF(G92="","",Rules!$B$1-G92)</f>
        <v/>
      </c>
      <c r="I92" s="5">
        <f>IF(F92="Address issue","address issue",IF(OR(F92="Delivered",F92="Returned to sender",G92=""),"",IF(AND(Rules!$B$3&lt;&gt;"",F92="Held at customs",H92&gt;=Rules!$B$3),"customs &gt;= "&amp;Rules!$B$3&amp;" days",IF(H92&gt;=Rules!$B$2,"idle &gt;= "&amp;Rules!$B$2&amp;" days",""))))</f>
        <v/>
      </c>
      <c r="J92" s="5">
        <f>IF(I92="","",IF(F92="Address issue",0,COUNTIF($I$2:$I$1001,"address issue"))+COUNTIFS($I$2:$I$1001,"?*",$F$2:$F$1001,IF(F92="Address issue","Address issue","&lt;&gt;Address issue"),$H$2:$H$1001,"&gt;"&amp;H92)+1)</f>
        <v/>
      </c>
    </row>
    <row r="93">
      <c r="A93" s="11" t="n">
        <v>100092</v>
      </c>
      <c r="B93" s="11" t="inlineStr">
        <is>
          <t>Мексика</t>
        </is>
      </c>
      <c r="C93" s="11" t="inlineStr">
        <is>
          <t>AndesCargo</t>
        </is>
      </c>
      <c r="D93" s="11" t="inlineStr">
        <is>
          <t>AC24746297</t>
        </is>
      </c>
      <c r="E93" s="12" t="n">
        <v>46280</v>
      </c>
      <c r="F93" s="11" t="inlineStr">
        <is>
          <t>Delivered</t>
        </is>
      </c>
      <c r="G93" s="12" t="n">
        <v>46291</v>
      </c>
      <c r="H93" s="5">
        <f>IF(G93="","",Rules!$B$1-G93)</f>
        <v/>
      </c>
      <c r="I93" s="5">
        <f>IF(F93="Address issue","address issue",IF(OR(F93="Delivered",F93="Returned to sender",G93=""),"",IF(AND(Rules!$B$3&lt;&gt;"",F93="Held at customs",H93&gt;=Rules!$B$3),"customs &gt;= "&amp;Rules!$B$3&amp;" days",IF(H93&gt;=Rules!$B$2,"idle &gt;= "&amp;Rules!$B$2&amp;" days",""))))</f>
        <v/>
      </c>
      <c r="J93" s="5">
        <f>IF(I93="","",IF(F93="Address issue",0,COUNTIF($I$2:$I$1001,"address issue"))+COUNTIFS($I$2:$I$1001,"?*",$F$2:$F$1001,IF(F93="Address issue","Address issue","&lt;&gt;Address issue"),$H$2:$H$1001,"&gt;"&amp;H93)+1)</f>
        <v/>
      </c>
    </row>
    <row r="94">
      <c r="A94" s="11" t="n">
        <v>100093</v>
      </c>
      <c r="B94" s="11" t="inlineStr">
        <is>
          <t>Мексика</t>
        </is>
      </c>
      <c r="C94" s="11" t="inlineStr">
        <is>
          <t>AndesCargo</t>
        </is>
      </c>
      <c r="D94" s="11" t="inlineStr">
        <is>
          <t>AC83277084</t>
        </is>
      </c>
      <c r="E94" s="12" t="n">
        <v>46290</v>
      </c>
      <c r="F94" s="11" t="inlineStr">
        <is>
          <t>Delivered</t>
        </is>
      </c>
      <c r="G94" s="12" t="n">
        <v>46297</v>
      </c>
      <c r="H94" s="5">
        <f>IF(G94="","",Rules!$B$1-G94)</f>
        <v/>
      </c>
      <c r="I94" s="5">
        <f>IF(F94="Address issue","address issue",IF(OR(F94="Delivered",F94="Returned to sender",G94=""),"",IF(AND(Rules!$B$3&lt;&gt;"",F94="Held at customs",H94&gt;=Rules!$B$3),"customs &gt;= "&amp;Rules!$B$3&amp;" days",IF(H94&gt;=Rules!$B$2,"idle &gt;= "&amp;Rules!$B$2&amp;" days",""))))</f>
        <v/>
      </c>
      <c r="J94" s="5">
        <f>IF(I94="","",IF(F94="Address issue",0,COUNTIF($I$2:$I$1001,"address issue"))+COUNTIFS($I$2:$I$1001,"?*",$F$2:$F$1001,IF(F94="Address issue","Address issue","&lt;&gt;Address issue"),$H$2:$H$1001,"&gt;"&amp;H94)+1)</f>
        <v/>
      </c>
    </row>
    <row r="95">
      <c r="A95" s="11" t="n">
        <v>100094</v>
      </c>
      <c r="B95" s="11" t="inlineStr">
        <is>
          <t>Бразилія</t>
        </is>
      </c>
      <c r="C95" s="11" t="inlineStr">
        <is>
          <t>SwiftParcel</t>
        </is>
      </c>
      <c r="D95" s="11" t="inlineStr">
        <is>
          <t>SP3115158</t>
        </is>
      </c>
      <c r="E95" s="12" t="n">
        <v>46300</v>
      </c>
      <c r="F95" s="11" t="inlineStr">
        <is>
          <t>In transit</t>
        </is>
      </c>
      <c r="G95" s="13" t="n">
        <v>46308</v>
      </c>
      <c r="H95" s="5">
        <f>IF(G95="","",Rules!$B$1-G95)</f>
        <v/>
      </c>
      <c r="I95" s="5">
        <f>IF(F95="Address issue","address issue",IF(OR(F95="Delivered",F95="Returned to sender",G95=""),"",IF(AND(Rules!$B$3&lt;&gt;"",F95="Held at customs",H95&gt;=Rules!$B$3),"customs &gt;= "&amp;Rules!$B$3&amp;" days",IF(H95&gt;=Rules!$B$2,"idle &gt;= "&amp;Rules!$B$2&amp;" days",""))))</f>
        <v/>
      </c>
      <c r="J95" s="5">
        <f>IF(I95="","",IF(F95="Address issue",0,COUNTIF($I$2:$I$1001,"address issue"))+COUNTIFS($I$2:$I$1001,"?*",$F$2:$F$1001,IF(F95="Address issue","Address issue","&lt;&gt;Address issue"),$H$2:$H$1001,"&gt;"&amp;H95)+1)</f>
        <v/>
      </c>
    </row>
    <row r="96">
      <c r="A96" s="11" t="n">
        <v>100095</v>
      </c>
      <c r="B96" s="11" t="inlineStr">
        <is>
          <t>Канада</t>
        </is>
      </c>
      <c r="C96" s="11" t="inlineStr">
        <is>
          <t>PostLink</t>
        </is>
      </c>
      <c r="D96" s="11" t="inlineStr">
        <is>
          <t>PL97834934</t>
        </is>
      </c>
      <c r="E96" s="12" t="n">
        <v>46295</v>
      </c>
      <c r="F96" s="11" t="inlineStr">
        <is>
          <t>Delivered</t>
        </is>
      </c>
      <c r="G96" s="12" t="n">
        <v>46299</v>
      </c>
      <c r="H96" s="5">
        <f>IF(G96="","",Rules!$B$1-G96)</f>
        <v/>
      </c>
      <c r="I96" s="5">
        <f>IF(F96="Address issue","address issue",IF(OR(F96="Delivered",F96="Returned to sender",G96=""),"",IF(AND(Rules!$B$3&lt;&gt;"",F96="Held at customs",H96&gt;=Rules!$B$3),"customs &gt;= "&amp;Rules!$B$3&amp;" days",IF(H96&gt;=Rules!$B$2,"idle &gt;= "&amp;Rules!$B$2&amp;" days",""))))</f>
        <v/>
      </c>
      <c r="J96" s="5">
        <f>IF(I96="","",IF(F96="Address issue",0,COUNTIF($I$2:$I$1001,"address issue"))+COUNTIFS($I$2:$I$1001,"?*",$F$2:$F$1001,IF(F96="Address issue","Address issue","&lt;&gt;Address issue"),$H$2:$H$1001,"&gt;"&amp;H96)+1)</f>
        <v/>
      </c>
    </row>
    <row r="97">
      <c r="A97" s="11" t="n">
        <v>100096</v>
      </c>
      <c r="B97" s="11" t="inlineStr">
        <is>
          <t>Канада</t>
        </is>
      </c>
      <c r="C97" s="11" t="inlineStr">
        <is>
          <t>PostLink</t>
        </is>
      </c>
      <c r="D97" s="11" t="inlineStr">
        <is>
          <t>PL87956716</t>
        </is>
      </c>
      <c r="E97" s="12" t="n">
        <v>46282</v>
      </c>
      <c r="F97" s="11" t="inlineStr">
        <is>
          <t>Delivered</t>
        </is>
      </c>
      <c r="G97" s="12" t="n">
        <v>46293</v>
      </c>
      <c r="H97" s="5">
        <f>IF(G97="","",Rules!$B$1-G97)</f>
        <v/>
      </c>
      <c r="I97" s="5">
        <f>IF(F97="Address issue","address issue",IF(OR(F97="Delivered",F97="Returned to sender",G97=""),"",IF(AND(Rules!$B$3&lt;&gt;"",F97="Held at customs",H97&gt;=Rules!$B$3),"customs &gt;= "&amp;Rules!$B$3&amp;" days",IF(H97&gt;=Rules!$B$2,"idle &gt;= "&amp;Rules!$B$2&amp;" days",""))))</f>
        <v/>
      </c>
      <c r="J97" s="5">
        <f>IF(I97="","",IF(F97="Address issue",0,COUNTIF($I$2:$I$1001,"address issue"))+COUNTIFS($I$2:$I$1001,"?*",$F$2:$F$1001,IF(F97="Address issue","Address issue","&lt;&gt;Address issue"),$H$2:$H$1001,"&gt;"&amp;H97)+1)</f>
        <v/>
      </c>
    </row>
    <row r="98">
      <c r="A98" s="11" t="n">
        <v>100097</v>
      </c>
      <c r="B98" s="11" t="inlineStr">
        <is>
          <t>Канада</t>
        </is>
      </c>
      <c r="C98" s="11" t="inlineStr">
        <is>
          <t>PostLink</t>
        </is>
      </c>
      <c r="D98" s="11" t="inlineStr">
        <is>
          <t>PL30907468</t>
        </is>
      </c>
      <c r="E98" s="12" t="n">
        <v>46284</v>
      </c>
      <c r="F98" s="11" t="inlineStr">
        <is>
          <t>Delivered</t>
        </is>
      </c>
      <c r="G98" s="12" t="n">
        <v>46289</v>
      </c>
      <c r="H98" s="5">
        <f>IF(G98="","",Rules!$B$1-G98)</f>
        <v/>
      </c>
      <c r="I98" s="5">
        <f>IF(F98="Address issue","address issue",IF(OR(F98="Delivered",F98="Returned to sender",G98=""),"",IF(AND(Rules!$B$3&lt;&gt;"",F98="Held at customs",H98&gt;=Rules!$B$3),"customs &gt;= "&amp;Rules!$B$3&amp;" days",IF(H98&gt;=Rules!$B$2,"idle &gt;= "&amp;Rules!$B$2&amp;" days",""))))</f>
        <v/>
      </c>
      <c r="J98" s="5">
        <f>IF(I98="","",IF(F98="Address issue",0,COUNTIF($I$2:$I$1001,"address issue"))+COUNTIFS($I$2:$I$1001,"?*",$F$2:$F$1001,IF(F98="Address issue","Address issue","&lt;&gt;Address issue"),$H$2:$H$1001,"&gt;"&amp;H98)+1)</f>
        <v/>
      </c>
    </row>
    <row r="99">
      <c r="A99" s="11" t="n">
        <v>100098</v>
      </c>
      <c r="B99" s="11" t="inlineStr">
        <is>
          <t>Бразилія</t>
        </is>
      </c>
      <c r="C99" s="11" t="inlineStr">
        <is>
          <t>SwiftParcel</t>
        </is>
      </c>
      <c r="D99" s="11" t="inlineStr">
        <is>
          <t>SP9121371</t>
        </is>
      </c>
      <c r="E99" s="12" t="n">
        <v>46300</v>
      </c>
      <c r="F99" s="11" t="inlineStr">
        <is>
          <t>In transit</t>
        </is>
      </c>
      <c r="G99" s="12" t="n">
        <v>46304</v>
      </c>
      <c r="H99" s="5">
        <f>IF(G99="","",Rules!$B$1-G99)</f>
        <v/>
      </c>
      <c r="I99" s="5">
        <f>IF(F99="Address issue","address issue",IF(OR(F99="Delivered",F99="Returned to sender",G99=""),"",IF(AND(Rules!$B$3&lt;&gt;"",F99="Held at customs",H99&gt;=Rules!$B$3),"customs &gt;= "&amp;Rules!$B$3&amp;" days",IF(H99&gt;=Rules!$B$2,"idle &gt;= "&amp;Rules!$B$2&amp;" days",""))))</f>
        <v/>
      </c>
      <c r="J99" s="5">
        <f>IF(I99="","",IF(F99="Address issue",0,COUNTIF($I$2:$I$1001,"address issue"))+COUNTIFS($I$2:$I$1001,"?*",$F$2:$F$1001,IF(F99="Address issue","Address issue","&lt;&gt;Address issue"),$H$2:$H$1001,"&gt;"&amp;H99)+1)</f>
        <v/>
      </c>
    </row>
    <row r="100">
      <c r="A100" s="11" t="n">
        <v>100099</v>
      </c>
      <c r="B100" s="11" t="inlineStr">
        <is>
          <t>Мексика</t>
        </is>
      </c>
      <c r="C100" s="11" t="inlineStr">
        <is>
          <t>SwiftParcel</t>
        </is>
      </c>
      <c r="D100" s="11" t="inlineStr">
        <is>
          <t>SP5904704</t>
        </is>
      </c>
      <c r="E100" s="12" t="n">
        <v>46298</v>
      </c>
      <c r="F100" s="11" t="inlineStr">
        <is>
          <t>Held at customs</t>
        </is>
      </c>
      <c r="G100" s="12" t="n">
        <v>46304</v>
      </c>
      <c r="H100" s="5">
        <f>IF(G100="","",Rules!$B$1-G100)</f>
        <v/>
      </c>
      <c r="I100" s="5">
        <f>IF(F100="Address issue","address issue",IF(OR(F100="Delivered",F100="Returned to sender",G100=""),"",IF(AND(Rules!$B$3&lt;&gt;"",F100="Held at customs",H100&gt;=Rules!$B$3),"customs &gt;= "&amp;Rules!$B$3&amp;" days",IF(H100&gt;=Rules!$B$2,"idle &gt;= "&amp;Rules!$B$2&amp;" days",""))))</f>
        <v/>
      </c>
      <c r="J100" s="5">
        <f>IF(I100="","",IF(F100="Address issue",0,COUNTIF($I$2:$I$1001,"address issue"))+COUNTIFS($I$2:$I$1001,"?*",$F$2:$F$1001,IF(F100="Address issue","Address issue","&lt;&gt;Address issue"),$H$2:$H$1001,"&gt;"&amp;H100)+1)</f>
        <v/>
      </c>
    </row>
    <row r="101">
      <c r="A101" s="11" t="n">
        <v>100100</v>
      </c>
      <c r="B101" s="11" t="inlineStr">
        <is>
          <t>Канада</t>
        </is>
      </c>
      <c r="C101" s="11" t="inlineStr">
        <is>
          <t>PostLink</t>
        </is>
      </c>
      <c r="D101" s="11" t="inlineStr">
        <is>
          <t>PL25818871</t>
        </is>
      </c>
      <c r="E101" s="12" t="n">
        <v>46300</v>
      </c>
      <c r="F101" s="11" t="inlineStr">
        <is>
          <t>In transit</t>
        </is>
      </c>
      <c r="G101" s="13" t="n">
        <v>46307</v>
      </c>
      <c r="H101" s="5">
        <f>IF(G101="","",Rules!$B$1-G101)</f>
        <v/>
      </c>
      <c r="I101" s="5">
        <f>IF(F101="Address issue","address issue",IF(OR(F101="Delivered",F101="Returned to sender",G101=""),"",IF(AND(Rules!$B$3&lt;&gt;"",F101="Held at customs",H101&gt;=Rules!$B$3),"customs &gt;= "&amp;Rules!$B$3&amp;" days",IF(H101&gt;=Rules!$B$2,"idle &gt;= "&amp;Rules!$B$2&amp;" days",""))))</f>
        <v/>
      </c>
      <c r="J101" s="5">
        <f>IF(I101="","",IF(F101="Address issue",0,COUNTIF($I$2:$I$1001,"address issue"))+COUNTIFS($I$2:$I$1001,"?*",$F$2:$F$1001,IF(F101="Address issue","Address issue","&lt;&gt;Address issue"),$H$2:$H$1001,"&gt;"&amp;H101)+1)</f>
        <v/>
      </c>
    </row>
    <row r="102">
      <c r="A102" s="11" t="n">
        <v>100101</v>
      </c>
      <c r="B102" s="11" t="inlineStr">
        <is>
          <t>Канада</t>
        </is>
      </c>
      <c r="C102" s="11" t="inlineStr">
        <is>
          <t>PostLink</t>
        </is>
      </c>
      <c r="D102" s="11" t="inlineStr">
        <is>
          <t>PL11098546</t>
        </is>
      </c>
      <c r="E102" s="12" t="n">
        <v>46289</v>
      </c>
      <c r="F102" s="11" t="inlineStr">
        <is>
          <t>Delivered</t>
        </is>
      </c>
      <c r="G102" s="12" t="n">
        <v>46301</v>
      </c>
      <c r="H102" s="5">
        <f>IF(G102="","",Rules!$B$1-G102)</f>
        <v/>
      </c>
      <c r="I102" s="5">
        <f>IF(F102="Address issue","address issue",IF(OR(F102="Delivered",F102="Returned to sender",G102=""),"",IF(AND(Rules!$B$3&lt;&gt;"",F102="Held at customs",H102&gt;=Rules!$B$3),"customs &gt;= "&amp;Rules!$B$3&amp;" days",IF(H102&gt;=Rules!$B$2,"idle &gt;= "&amp;Rules!$B$2&amp;" days",""))))</f>
        <v/>
      </c>
      <c r="J102" s="5">
        <f>IF(I102="","",IF(F102="Address issue",0,COUNTIF($I$2:$I$1001,"address issue"))+COUNTIFS($I$2:$I$1001,"?*",$F$2:$F$1001,IF(F102="Address issue","Address issue","&lt;&gt;Address issue"),$H$2:$H$1001,"&gt;"&amp;H102)+1)</f>
        <v/>
      </c>
    </row>
    <row r="103">
      <c r="A103" s="11" t="n">
        <v>100102</v>
      </c>
      <c r="B103" s="11" t="inlineStr">
        <is>
          <t>Мексика</t>
        </is>
      </c>
      <c r="C103" s="11" t="inlineStr">
        <is>
          <t>AndesCargo</t>
        </is>
      </c>
      <c r="D103" s="11" t="inlineStr">
        <is>
          <t>AC60936479</t>
        </is>
      </c>
      <c r="E103" s="12" t="n">
        <v>46279</v>
      </c>
      <c r="F103" s="11" t="inlineStr">
        <is>
          <t>Delivered</t>
        </is>
      </c>
      <c r="G103" s="12" t="n">
        <v>46284</v>
      </c>
      <c r="H103" s="5">
        <f>IF(G103="","",Rules!$B$1-G103)</f>
        <v/>
      </c>
      <c r="I103" s="5">
        <f>IF(F103="Address issue","address issue",IF(OR(F103="Delivered",F103="Returned to sender",G103=""),"",IF(AND(Rules!$B$3&lt;&gt;"",F103="Held at customs",H103&gt;=Rules!$B$3),"customs &gt;= "&amp;Rules!$B$3&amp;" days",IF(H103&gt;=Rules!$B$2,"idle &gt;= "&amp;Rules!$B$2&amp;" days",""))))</f>
        <v/>
      </c>
      <c r="J103" s="5">
        <f>IF(I103="","",IF(F103="Address issue",0,COUNTIF($I$2:$I$1001,"address issue"))+COUNTIFS($I$2:$I$1001,"?*",$F$2:$F$1001,IF(F103="Address issue","Address issue","&lt;&gt;Address issue"),$H$2:$H$1001,"&gt;"&amp;H103)+1)</f>
        <v/>
      </c>
    </row>
    <row r="104">
      <c r="A104" s="11" t="n">
        <v>100103</v>
      </c>
      <c r="B104" s="11" t="inlineStr">
        <is>
          <t>Мексика</t>
        </is>
      </c>
      <c r="C104" s="11" t="inlineStr">
        <is>
          <t>SwiftParcel</t>
        </is>
      </c>
      <c r="D104" s="11" t="inlineStr">
        <is>
          <t>SP8709614</t>
        </is>
      </c>
      <c r="E104" s="13" t="n">
        <v>46307</v>
      </c>
      <c r="F104" s="11" t="inlineStr">
        <is>
          <t>Label created</t>
        </is>
      </c>
      <c r="G104" s="13" t="n">
        <v>46307</v>
      </c>
      <c r="H104" s="5">
        <f>IF(G104="","",Rules!$B$1-G104)</f>
        <v/>
      </c>
      <c r="I104" s="5">
        <f>IF(F104="Address issue","address issue",IF(OR(F104="Delivered",F104="Returned to sender",G104=""),"",IF(AND(Rules!$B$3&lt;&gt;"",F104="Held at customs",H104&gt;=Rules!$B$3),"customs &gt;= "&amp;Rules!$B$3&amp;" days",IF(H104&gt;=Rules!$B$2,"idle &gt;= "&amp;Rules!$B$2&amp;" days",""))))</f>
        <v/>
      </c>
      <c r="J104" s="5">
        <f>IF(I104="","",IF(F104="Address issue",0,COUNTIF($I$2:$I$1001,"address issue"))+COUNTIFS($I$2:$I$1001,"?*",$F$2:$F$1001,IF(F104="Address issue","Address issue","&lt;&gt;Address issue"),$H$2:$H$1001,"&gt;"&amp;H104)+1)</f>
        <v/>
      </c>
    </row>
    <row r="105">
      <c r="A105" s="11" t="n">
        <v>100104</v>
      </c>
      <c r="B105" s="11" t="inlineStr">
        <is>
          <t>Мексика</t>
        </is>
      </c>
      <c r="C105" s="11" t="inlineStr">
        <is>
          <t>AndesCargo</t>
        </is>
      </c>
      <c r="D105" s="11" t="inlineStr">
        <is>
          <t>AC47052519</t>
        </is>
      </c>
      <c r="E105" s="12" t="n">
        <v>46280</v>
      </c>
      <c r="F105" s="11" t="inlineStr">
        <is>
          <t>Delivered</t>
        </is>
      </c>
      <c r="G105" s="12" t="n">
        <v>46289</v>
      </c>
      <c r="H105" s="5">
        <f>IF(G105="","",Rules!$B$1-G105)</f>
        <v/>
      </c>
      <c r="I105" s="5">
        <f>IF(F105="Address issue","address issue",IF(OR(F105="Delivered",F105="Returned to sender",G105=""),"",IF(AND(Rules!$B$3&lt;&gt;"",F105="Held at customs",H105&gt;=Rules!$B$3),"customs &gt;= "&amp;Rules!$B$3&amp;" days",IF(H105&gt;=Rules!$B$2,"idle &gt;= "&amp;Rules!$B$2&amp;" days",""))))</f>
        <v/>
      </c>
      <c r="J105" s="5">
        <f>IF(I105="","",IF(F105="Address issue",0,COUNTIF($I$2:$I$1001,"address issue"))+COUNTIFS($I$2:$I$1001,"?*",$F$2:$F$1001,IF(F105="Address issue","Address issue","&lt;&gt;Address issue"),$H$2:$H$1001,"&gt;"&amp;H105)+1)</f>
        <v/>
      </c>
    </row>
    <row r="106">
      <c r="A106" s="11" t="n">
        <v>100105</v>
      </c>
      <c r="B106" s="11" t="inlineStr">
        <is>
          <t>Мексика</t>
        </is>
      </c>
      <c r="C106" s="11" t="inlineStr">
        <is>
          <t>SwiftParcel</t>
        </is>
      </c>
      <c r="D106" s="11" t="inlineStr">
        <is>
          <t>SP1893794</t>
        </is>
      </c>
      <c r="E106" s="12" t="n">
        <v>46281</v>
      </c>
      <c r="F106" s="11" t="inlineStr">
        <is>
          <t>Delivered</t>
        </is>
      </c>
      <c r="G106" s="12" t="n">
        <v>46291</v>
      </c>
      <c r="H106" s="5">
        <f>IF(G106="","",Rules!$B$1-G106)</f>
        <v/>
      </c>
      <c r="I106" s="5">
        <f>IF(F106="Address issue","address issue",IF(OR(F106="Delivered",F106="Returned to sender",G106=""),"",IF(AND(Rules!$B$3&lt;&gt;"",F106="Held at customs",H106&gt;=Rules!$B$3),"customs &gt;= "&amp;Rules!$B$3&amp;" days",IF(H106&gt;=Rules!$B$2,"idle &gt;= "&amp;Rules!$B$2&amp;" days",""))))</f>
        <v/>
      </c>
      <c r="J106" s="5">
        <f>IF(I106="","",IF(F106="Address issue",0,COUNTIF($I$2:$I$1001,"address issue"))+COUNTIFS($I$2:$I$1001,"?*",$F$2:$F$1001,IF(F106="Address issue","Address issue","&lt;&gt;Address issue"),$H$2:$H$1001,"&gt;"&amp;H106)+1)</f>
        <v/>
      </c>
    </row>
    <row r="107">
      <c r="A107" s="11" t="n">
        <v>100106</v>
      </c>
      <c r="B107" s="11" t="inlineStr">
        <is>
          <t>Канада</t>
        </is>
      </c>
      <c r="C107" s="11" t="inlineStr">
        <is>
          <t>PostLink</t>
        </is>
      </c>
      <c r="D107" s="11" t="inlineStr">
        <is>
          <t>PL15645944</t>
        </is>
      </c>
      <c r="E107" s="12" t="n">
        <v>46304</v>
      </c>
      <c r="F107" s="11" t="inlineStr">
        <is>
          <t>In transit</t>
        </is>
      </c>
      <c r="G107" s="13" t="n">
        <v>46305</v>
      </c>
      <c r="H107" s="5">
        <f>IF(G107="","",Rules!$B$1-G107)</f>
        <v/>
      </c>
      <c r="I107" s="5">
        <f>IF(F107="Address issue","address issue",IF(OR(F107="Delivered",F107="Returned to sender",G107=""),"",IF(AND(Rules!$B$3&lt;&gt;"",F107="Held at customs",H107&gt;=Rules!$B$3),"customs &gt;= "&amp;Rules!$B$3&amp;" days",IF(H107&gt;=Rules!$B$2,"idle &gt;= "&amp;Rules!$B$2&amp;" days",""))))</f>
        <v/>
      </c>
      <c r="J107" s="5">
        <f>IF(I107="","",IF(F107="Address issue",0,COUNTIF($I$2:$I$1001,"address issue"))+COUNTIFS($I$2:$I$1001,"?*",$F$2:$F$1001,IF(F107="Address issue","Address issue","&lt;&gt;Address issue"),$H$2:$H$1001,"&gt;"&amp;H107)+1)</f>
        <v/>
      </c>
    </row>
    <row r="108">
      <c r="A108" s="11" t="n">
        <v>100107</v>
      </c>
      <c r="B108" s="11" t="inlineStr">
        <is>
          <t>Мексика</t>
        </is>
      </c>
      <c r="C108" s="11" t="inlineStr">
        <is>
          <t>AndesCargo</t>
        </is>
      </c>
      <c r="D108" s="11" t="inlineStr">
        <is>
          <t>AC83957885</t>
        </is>
      </c>
      <c r="E108" s="12" t="n">
        <v>46298</v>
      </c>
      <c r="F108" s="11" t="inlineStr">
        <is>
          <t>In transit</t>
        </is>
      </c>
      <c r="G108" s="12" t="n">
        <v>46304</v>
      </c>
      <c r="H108" s="5">
        <f>IF(G108="","",Rules!$B$1-G108)</f>
        <v/>
      </c>
      <c r="I108" s="5">
        <f>IF(F108="Address issue","address issue",IF(OR(F108="Delivered",F108="Returned to sender",G108=""),"",IF(AND(Rules!$B$3&lt;&gt;"",F108="Held at customs",H108&gt;=Rules!$B$3),"customs &gt;= "&amp;Rules!$B$3&amp;" days",IF(H108&gt;=Rules!$B$2,"idle &gt;= "&amp;Rules!$B$2&amp;" days",""))))</f>
        <v/>
      </c>
      <c r="J108" s="5">
        <f>IF(I108="","",IF(F108="Address issue",0,COUNTIF($I$2:$I$1001,"address issue"))+COUNTIFS($I$2:$I$1001,"?*",$F$2:$F$1001,IF(F108="Address issue","Address issue","&lt;&gt;Address issue"),$H$2:$H$1001,"&gt;"&amp;H108)+1)</f>
        <v/>
      </c>
    </row>
    <row r="109">
      <c r="A109" s="11" t="n">
        <v>100108</v>
      </c>
      <c r="B109" s="11" t="inlineStr">
        <is>
          <t>Канада</t>
        </is>
      </c>
      <c r="C109" s="11" t="inlineStr">
        <is>
          <t>PostLink</t>
        </is>
      </c>
      <c r="D109" s="11" t="inlineStr">
        <is>
          <t>PL73607652</t>
        </is>
      </c>
      <c r="E109" s="12" t="n">
        <v>46299</v>
      </c>
      <c r="F109" s="11" t="inlineStr">
        <is>
          <t>Label created</t>
        </is>
      </c>
      <c r="G109" s="12" t="n">
        <v>46299</v>
      </c>
      <c r="H109" s="5">
        <f>IF(G109="","",Rules!$B$1-G109)</f>
        <v/>
      </c>
      <c r="I109" s="5">
        <f>IF(F109="Address issue","address issue",IF(OR(F109="Delivered",F109="Returned to sender",G109=""),"",IF(AND(Rules!$B$3&lt;&gt;"",F109="Held at customs",H109&gt;=Rules!$B$3),"customs &gt;= "&amp;Rules!$B$3&amp;" days",IF(H109&gt;=Rules!$B$2,"idle &gt;= "&amp;Rules!$B$2&amp;" days",""))))</f>
        <v/>
      </c>
      <c r="J109" s="5">
        <f>IF(I109="","",IF(F109="Address issue",0,COUNTIF($I$2:$I$1001,"address issue"))+COUNTIFS($I$2:$I$1001,"?*",$F$2:$F$1001,IF(F109="Address issue","Address issue","&lt;&gt;Address issue"),$H$2:$H$1001,"&gt;"&amp;H109)+1)</f>
        <v/>
      </c>
    </row>
    <row r="110">
      <c r="A110" s="11" t="n">
        <v>100109</v>
      </c>
      <c r="B110" s="11" t="inlineStr">
        <is>
          <t>Мексика</t>
        </is>
      </c>
      <c r="C110" s="11" t="inlineStr">
        <is>
          <t>AndesCargo</t>
        </is>
      </c>
      <c r="D110" s="11" t="inlineStr">
        <is>
          <t>AC42186971</t>
        </is>
      </c>
      <c r="E110" s="12" t="n">
        <v>46273</v>
      </c>
      <c r="F110" s="11" t="inlineStr">
        <is>
          <t>Delivered</t>
        </is>
      </c>
      <c r="G110" s="12" t="n">
        <v>46285</v>
      </c>
      <c r="H110" s="5">
        <f>IF(G110="","",Rules!$B$1-G110)</f>
        <v/>
      </c>
      <c r="I110" s="5">
        <f>IF(F110="Address issue","address issue",IF(OR(F110="Delivered",F110="Returned to sender",G110=""),"",IF(AND(Rules!$B$3&lt;&gt;"",F110="Held at customs",H110&gt;=Rules!$B$3),"customs &gt;= "&amp;Rules!$B$3&amp;" days",IF(H110&gt;=Rules!$B$2,"idle &gt;= "&amp;Rules!$B$2&amp;" days",""))))</f>
        <v/>
      </c>
      <c r="J110" s="5">
        <f>IF(I110="","",IF(F110="Address issue",0,COUNTIF($I$2:$I$1001,"address issue"))+COUNTIFS($I$2:$I$1001,"?*",$F$2:$F$1001,IF(F110="Address issue","Address issue","&lt;&gt;Address issue"),$H$2:$H$1001,"&gt;"&amp;H110)+1)</f>
        <v/>
      </c>
    </row>
    <row r="111">
      <c r="A111" s="11" t="n">
        <v>100110</v>
      </c>
      <c r="B111" s="11" t="inlineStr">
        <is>
          <t>Мексика</t>
        </is>
      </c>
      <c r="C111" s="11" t="inlineStr">
        <is>
          <t>AndesCargo</t>
        </is>
      </c>
      <c r="D111" s="11" t="inlineStr">
        <is>
          <t>AC25623375</t>
        </is>
      </c>
      <c r="E111" s="13" t="n">
        <v>46305</v>
      </c>
      <c r="F111" s="11" t="inlineStr">
        <is>
          <t>Label created</t>
        </is>
      </c>
      <c r="G111" s="13" t="n">
        <v>46305</v>
      </c>
      <c r="H111" s="5">
        <f>IF(G111="","",Rules!$B$1-G111)</f>
        <v/>
      </c>
      <c r="I111" s="5">
        <f>IF(F111="Address issue","address issue",IF(OR(F111="Delivered",F111="Returned to sender",G111=""),"",IF(AND(Rules!$B$3&lt;&gt;"",F111="Held at customs",H111&gt;=Rules!$B$3),"customs &gt;= "&amp;Rules!$B$3&amp;" days",IF(H111&gt;=Rules!$B$2,"idle &gt;= "&amp;Rules!$B$2&amp;" days",""))))</f>
        <v/>
      </c>
      <c r="J111" s="5">
        <f>IF(I111="","",IF(F111="Address issue",0,COUNTIF($I$2:$I$1001,"address issue"))+COUNTIFS($I$2:$I$1001,"?*",$F$2:$F$1001,IF(F111="Address issue","Address issue","&lt;&gt;Address issue"),$H$2:$H$1001,"&gt;"&amp;H111)+1)</f>
        <v/>
      </c>
    </row>
    <row r="112">
      <c r="A112" s="11" t="n">
        <v>100111</v>
      </c>
      <c r="B112" s="11" t="inlineStr">
        <is>
          <t>Канада</t>
        </is>
      </c>
      <c r="C112" s="11" t="inlineStr">
        <is>
          <t>PostLink</t>
        </is>
      </c>
      <c r="D112" s="11" t="inlineStr">
        <is>
          <t>PL44022960</t>
        </is>
      </c>
      <c r="E112" s="12" t="n">
        <v>46299</v>
      </c>
      <c r="F112" s="11" t="inlineStr">
        <is>
          <t>Out for delivery</t>
        </is>
      </c>
      <c r="G112" s="13" t="n">
        <v>46305</v>
      </c>
      <c r="H112" s="5">
        <f>IF(G112="","",Rules!$B$1-G112)</f>
        <v/>
      </c>
      <c r="I112" s="5">
        <f>IF(F112="Address issue","address issue",IF(OR(F112="Delivered",F112="Returned to sender",G112=""),"",IF(AND(Rules!$B$3&lt;&gt;"",F112="Held at customs",H112&gt;=Rules!$B$3),"customs &gt;= "&amp;Rules!$B$3&amp;" days",IF(H112&gt;=Rules!$B$2,"idle &gt;= "&amp;Rules!$B$2&amp;" days",""))))</f>
        <v/>
      </c>
      <c r="J112" s="5">
        <f>IF(I112="","",IF(F112="Address issue",0,COUNTIF($I$2:$I$1001,"address issue"))+COUNTIFS($I$2:$I$1001,"?*",$F$2:$F$1001,IF(F112="Address issue","Address issue","&lt;&gt;Address issue"),$H$2:$H$1001,"&gt;"&amp;H112)+1)</f>
        <v/>
      </c>
    </row>
    <row r="113">
      <c r="A113" s="11" t="n">
        <v>100112</v>
      </c>
      <c r="B113" s="11" t="inlineStr">
        <is>
          <t>Мексика</t>
        </is>
      </c>
      <c r="C113" s="11" t="inlineStr">
        <is>
          <t>AndesCargo</t>
        </is>
      </c>
      <c r="D113" s="11" t="inlineStr">
        <is>
          <t>AC65691671</t>
        </is>
      </c>
      <c r="E113" s="12" t="n">
        <v>46303</v>
      </c>
      <c r="F113" s="11" t="inlineStr">
        <is>
          <t>Returned to sender</t>
        </is>
      </c>
      <c r="G113" s="13" t="n">
        <v>46310</v>
      </c>
      <c r="H113" s="5">
        <f>IF(G113="","",Rules!$B$1-G113)</f>
        <v/>
      </c>
      <c r="I113" s="5">
        <f>IF(F113="Address issue","address issue",IF(OR(F113="Delivered",F113="Returned to sender",G113=""),"",IF(AND(Rules!$B$3&lt;&gt;"",F113="Held at customs",H113&gt;=Rules!$B$3),"customs &gt;= "&amp;Rules!$B$3&amp;" days",IF(H113&gt;=Rules!$B$2,"idle &gt;= "&amp;Rules!$B$2&amp;" days",""))))</f>
        <v/>
      </c>
      <c r="J113" s="5">
        <f>IF(I113="","",IF(F113="Address issue",0,COUNTIF($I$2:$I$1001,"address issue"))+COUNTIFS($I$2:$I$1001,"?*",$F$2:$F$1001,IF(F113="Address issue","Address issue","&lt;&gt;Address issue"),$H$2:$H$1001,"&gt;"&amp;H113)+1)</f>
        <v/>
      </c>
    </row>
    <row r="114">
      <c r="A114" s="11" t="n">
        <v>100113</v>
      </c>
      <c r="B114" s="11" t="inlineStr">
        <is>
          <t>Мексика</t>
        </is>
      </c>
      <c r="C114" s="11" t="inlineStr">
        <is>
          <t>AndesCargo</t>
        </is>
      </c>
      <c r="D114" s="11" t="inlineStr">
        <is>
          <t>AC69192728</t>
        </is>
      </c>
      <c r="E114" s="12" t="n">
        <v>46276</v>
      </c>
      <c r="F114" s="11" t="inlineStr">
        <is>
          <t>Delivered</t>
        </is>
      </c>
      <c r="G114" s="12" t="n">
        <v>46284</v>
      </c>
      <c r="H114" s="5">
        <f>IF(G114="","",Rules!$B$1-G114)</f>
        <v/>
      </c>
      <c r="I114" s="5">
        <f>IF(F114="Address issue","address issue",IF(OR(F114="Delivered",F114="Returned to sender",G114=""),"",IF(AND(Rules!$B$3&lt;&gt;"",F114="Held at customs",H114&gt;=Rules!$B$3),"customs &gt;= "&amp;Rules!$B$3&amp;" days",IF(H114&gt;=Rules!$B$2,"idle &gt;= "&amp;Rules!$B$2&amp;" days",""))))</f>
        <v/>
      </c>
      <c r="J114" s="5">
        <f>IF(I114="","",IF(F114="Address issue",0,COUNTIF($I$2:$I$1001,"address issue"))+COUNTIFS($I$2:$I$1001,"?*",$F$2:$F$1001,IF(F114="Address issue","Address issue","&lt;&gt;Address issue"),$H$2:$H$1001,"&gt;"&amp;H114)+1)</f>
        <v/>
      </c>
    </row>
    <row r="115">
      <c r="A115" s="11" t="n">
        <v>100114</v>
      </c>
      <c r="B115" s="11" t="inlineStr">
        <is>
          <t>Мексика</t>
        </is>
      </c>
      <c r="C115" s="11" t="inlineStr">
        <is>
          <t>AndesCargo</t>
        </is>
      </c>
      <c r="D115" s="11" t="inlineStr">
        <is>
          <t>AC29377480</t>
        </is>
      </c>
      <c r="E115" s="12" t="n">
        <v>46280</v>
      </c>
      <c r="F115" s="11" t="inlineStr">
        <is>
          <t>Delivered</t>
        </is>
      </c>
      <c r="G115" s="12" t="n">
        <v>46291</v>
      </c>
      <c r="H115" s="5">
        <f>IF(G115="","",Rules!$B$1-G115)</f>
        <v/>
      </c>
      <c r="I115" s="5">
        <f>IF(F115="Address issue","address issue",IF(OR(F115="Delivered",F115="Returned to sender",G115=""),"",IF(AND(Rules!$B$3&lt;&gt;"",F115="Held at customs",H115&gt;=Rules!$B$3),"customs &gt;= "&amp;Rules!$B$3&amp;" days",IF(H115&gt;=Rules!$B$2,"idle &gt;= "&amp;Rules!$B$2&amp;" days",""))))</f>
        <v/>
      </c>
      <c r="J115" s="5">
        <f>IF(I115="","",IF(F115="Address issue",0,COUNTIF($I$2:$I$1001,"address issue"))+COUNTIFS($I$2:$I$1001,"?*",$F$2:$F$1001,IF(F115="Address issue","Address issue","&lt;&gt;Address issue"),$H$2:$H$1001,"&gt;"&amp;H115)+1)</f>
        <v/>
      </c>
    </row>
    <row r="116">
      <c r="A116" s="11" t="n">
        <v>100115</v>
      </c>
      <c r="B116" s="11" t="inlineStr">
        <is>
          <t>Мексика</t>
        </is>
      </c>
      <c r="C116" s="11" t="inlineStr">
        <is>
          <t>AndesCargo</t>
        </is>
      </c>
      <c r="D116" s="11" t="inlineStr">
        <is>
          <t>AC55766175</t>
        </is>
      </c>
      <c r="E116" s="12" t="n">
        <v>46301</v>
      </c>
      <c r="F116" s="11" t="inlineStr">
        <is>
          <t>In transit</t>
        </is>
      </c>
      <c r="G116" s="13" t="n">
        <v>46309</v>
      </c>
      <c r="H116" s="5">
        <f>IF(G116="","",Rules!$B$1-G116)</f>
        <v/>
      </c>
      <c r="I116" s="5">
        <f>IF(F116="Address issue","address issue",IF(OR(F116="Delivered",F116="Returned to sender",G116=""),"",IF(AND(Rules!$B$3&lt;&gt;"",F116="Held at customs",H116&gt;=Rules!$B$3),"customs &gt;= "&amp;Rules!$B$3&amp;" days",IF(H116&gt;=Rules!$B$2,"idle &gt;= "&amp;Rules!$B$2&amp;" days",""))))</f>
        <v/>
      </c>
      <c r="J116" s="5">
        <f>IF(I116="","",IF(F116="Address issue",0,COUNTIF($I$2:$I$1001,"address issue"))+COUNTIFS($I$2:$I$1001,"?*",$F$2:$F$1001,IF(F116="Address issue","Address issue","&lt;&gt;Address issue"),$H$2:$H$1001,"&gt;"&amp;H116)+1)</f>
        <v/>
      </c>
    </row>
    <row r="117">
      <c r="A117" s="11" t="n">
        <v>100116</v>
      </c>
      <c r="B117" s="11" t="inlineStr">
        <is>
          <t>Канада</t>
        </is>
      </c>
      <c r="C117" s="11" t="inlineStr">
        <is>
          <t>PostLink</t>
        </is>
      </c>
      <c r="D117" s="11" t="inlineStr">
        <is>
          <t>PL74458865</t>
        </is>
      </c>
      <c r="E117" s="12" t="n">
        <v>46289</v>
      </c>
      <c r="F117" s="11" t="inlineStr">
        <is>
          <t>Delivered</t>
        </is>
      </c>
      <c r="G117" s="12" t="n">
        <v>46292</v>
      </c>
      <c r="H117" s="5">
        <f>IF(G117="","",Rules!$B$1-G117)</f>
        <v/>
      </c>
      <c r="I117" s="5">
        <f>IF(F117="Address issue","address issue",IF(OR(F117="Delivered",F117="Returned to sender",G117=""),"",IF(AND(Rules!$B$3&lt;&gt;"",F117="Held at customs",H117&gt;=Rules!$B$3),"customs &gt;= "&amp;Rules!$B$3&amp;" days",IF(H117&gt;=Rules!$B$2,"idle &gt;= "&amp;Rules!$B$2&amp;" days",""))))</f>
        <v/>
      </c>
      <c r="J117" s="5">
        <f>IF(I117="","",IF(F117="Address issue",0,COUNTIF($I$2:$I$1001,"address issue"))+COUNTIFS($I$2:$I$1001,"?*",$F$2:$F$1001,IF(F117="Address issue","Address issue","&lt;&gt;Address issue"),$H$2:$H$1001,"&gt;"&amp;H117)+1)</f>
        <v/>
      </c>
    </row>
    <row r="118">
      <c r="A118" s="11" t="n">
        <v>100117</v>
      </c>
      <c r="B118" s="11" t="inlineStr">
        <is>
          <t>Мексика</t>
        </is>
      </c>
      <c r="C118" s="11" t="inlineStr">
        <is>
          <t>SwiftParcel</t>
        </is>
      </c>
      <c r="D118" s="11" t="inlineStr">
        <is>
          <t>SP7664658</t>
        </is>
      </c>
      <c r="E118" s="12" t="n">
        <v>46279</v>
      </c>
      <c r="F118" s="11" t="inlineStr">
        <is>
          <t>Delivered</t>
        </is>
      </c>
      <c r="G118" s="12" t="n">
        <v>46284</v>
      </c>
      <c r="H118" s="5">
        <f>IF(G118="","",Rules!$B$1-G118)</f>
        <v/>
      </c>
      <c r="I118" s="5">
        <f>IF(F118="Address issue","address issue",IF(OR(F118="Delivered",F118="Returned to sender",G118=""),"",IF(AND(Rules!$B$3&lt;&gt;"",F118="Held at customs",H118&gt;=Rules!$B$3),"customs &gt;= "&amp;Rules!$B$3&amp;" days",IF(H118&gt;=Rules!$B$2,"idle &gt;= "&amp;Rules!$B$2&amp;" days",""))))</f>
        <v/>
      </c>
      <c r="J118" s="5">
        <f>IF(I118="","",IF(F118="Address issue",0,COUNTIF($I$2:$I$1001,"address issue"))+COUNTIFS($I$2:$I$1001,"?*",$F$2:$F$1001,IF(F118="Address issue","Address issue","&lt;&gt;Address issue"),$H$2:$H$1001,"&gt;"&amp;H118)+1)</f>
        <v/>
      </c>
    </row>
    <row r="119">
      <c r="A119" s="11" t="n">
        <v>100118</v>
      </c>
      <c r="B119" s="11" t="inlineStr">
        <is>
          <t>Мексика</t>
        </is>
      </c>
      <c r="C119" s="11" t="inlineStr">
        <is>
          <t>SwiftParcel</t>
        </is>
      </c>
      <c r="D119" s="11" t="inlineStr">
        <is>
          <t>SP5113308</t>
        </is>
      </c>
      <c r="E119" s="12" t="n">
        <v>46292</v>
      </c>
      <c r="F119" s="11" t="inlineStr">
        <is>
          <t>Delivered</t>
        </is>
      </c>
      <c r="G119" s="12" t="n">
        <v>46300</v>
      </c>
      <c r="H119" s="5">
        <f>IF(G119="","",Rules!$B$1-G119)</f>
        <v/>
      </c>
      <c r="I119" s="5">
        <f>IF(F119="Address issue","address issue",IF(OR(F119="Delivered",F119="Returned to sender",G119=""),"",IF(AND(Rules!$B$3&lt;&gt;"",F119="Held at customs",H119&gt;=Rules!$B$3),"customs &gt;= "&amp;Rules!$B$3&amp;" days",IF(H119&gt;=Rules!$B$2,"idle &gt;= "&amp;Rules!$B$2&amp;" days",""))))</f>
        <v/>
      </c>
      <c r="J119" s="5">
        <f>IF(I119="","",IF(F119="Address issue",0,COUNTIF($I$2:$I$1001,"address issue"))+COUNTIFS($I$2:$I$1001,"?*",$F$2:$F$1001,IF(F119="Address issue","Address issue","&lt;&gt;Address issue"),$H$2:$H$1001,"&gt;"&amp;H119)+1)</f>
        <v/>
      </c>
    </row>
    <row r="120">
      <c r="A120" s="11" t="n">
        <v>100119</v>
      </c>
      <c r="B120" s="11" t="inlineStr">
        <is>
          <t>Мексика</t>
        </is>
      </c>
      <c r="C120" s="11" t="inlineStr">
        <is>
          <t>AndesCargo</t>
        </is>
      </c>
      <c r="D120" s="11" t="inlineStr">
        <is>
          <t>AC76119027</t>
        </is>
      </c>
      <c r="E120" s="12" t="n">
        <v>46287</v>
      </c>
      <c r="F120" s="11" t="inlineStr">
        <is>
          <t>Delivered</t>
        </is>
      </c>
      <c r="G120" s="12" t="n">
        <v>46295</v>
      </c>
      <c r="H120" s="5">
        <f>IF(G120="","",Rules!$B$1-G120)</f>
        <v/>
      </c>
      <c r="I120" s="5">
        <f>IF(F120="Address issue","address issue",IF(OR(F120="Delivered",F120="Returned to sender",G120=""),"",IF(AND(Rules!$B$3&lt;&gt;"",F120="Held at customs",H120&gt;=Rules!$B$3),"customs &gt;= "&amp;Rules!$B$3&amp;" days",IF(H120&gt;=Rules!$B$2,"idle &gt;= "&amp;Rules!$B$2&amp;" days",""))))</f>
        <v/>
      </c>
      <c r="J120" s="5">
        <f>IF(I120="","",IF(F120="Address issue",0,COUNTIF($I$2:$I$1001,"address issue"))+COUNTIFS($I$2:$I$1001,"?*",$F$2:$F$1001,IF(F120="Address issue","Address issue","&lt;&gt;Address issue"),$H$2:$H$1001,"&gt;"&amp;H120)+1)</f>
        <v/>
      </c>
    </row>
    <row r="121">
      <c r="A121" s="11" t="n">
        <v>100120</v>
      </c>
      <c r="B121" s="11" t="inlineStr">
        <is>
          <t>Бразилія</t>
        </is>
      </c>
      <c r="C121" s="11" t="inlineStr">
        <is>
          <t>SwiftParcel</t>
        </is>
      </c>
      <c r="D121" s="11" t="inlineStr">
        <is>
          <t>SP7691726</t>
        </is>
      </c>
      <c r="E121" s="12" t="n">
        <v>46299</v>
      </c>
      <c r="F121" s="11" t="inlineStr">
        <is>
          <t>In transit</t>
        </is>
      </c>
      <c r="G121" s="13" t="n">
        <v>46307</v>
      </c>
      <c r="H121" s="5">
        <f>IF(G121="","",Rules!$B$1-G121)</f>
        <v/>
      </c>
      <c r="I121" s="5">
        <f>IF(F121="Address issue","address issue",IF(OR(F121="Delivered",F121="Returned to sender",G121=""),"",IF(AND(Rules!$B$3&lt;&gt;"",F121="Held at customs",H121&gt;=Rules!$B$3),"customs &gt;= "&amp;Rules!$B$3&amp;" days",IF(H121&gt;=Rules!$B$2,"idle &gt;= "&amp;Rules!$B$2&amp;" days",""))))</f>
        <v/>
      </c>
      <c r="J121" s="5">
        <f>IF(I121="","",IF(F121="Address issue",0,COUNTIF($I$2:$I$1001,"address issue"))+COUNTIFS($I$2:$I$1001,"?*",$F$2:$F$1001,IF(F121="Address issue","Address issue","&lt;&gt;Address issue"),$H$2:$H$1001,"&gt;"&amp;H121)+1)</f>
        <v/>
      </c>
    </row>
    <row r="122">
      <c r="A122" s="11" t="n">
        <v>100121</v>
      </c>
      <c r="B122" s="11" t="inlineStr">
        <is>
          <t>Мексика</t>
        </is>
      </c>
      <c r="C122" s="11" t="inlineStr">
        <is>
          <t>AndesCargo</t>
        </is>
      </c>
      <c r="D122" s="11" t="inlineStr">
        <is>
          <t>AC30116719</t>
        </is>
      </c>
      <c r="E122" s="12" t="n">
        <v>46301</v>
      </c>
      <c r="F122" s="11" t="inlineStr">
        <is>
          <t>In transit</t>
        </is>
      </c>
      <c r="G122" s="12" t="n">
        <v>46304</v>
      </c>
      <c r="H122" s="5">
        <f>IF(G122="","",Rules!$B$1-G122)</f>
        <v/>
      </c>
      <c r="I122" s="5">
        <f>IF(F122="Address issue","address issue",IF(OR(F122="Delivered",F122="Returned to sender",G122=""),"",IF(AND(Rules!$B$3&lt;&gt;"",F122="Held at customs",H122&gt;=Rules!$B$3),"customs &gt;= "&amp;Rules!$B$3&amp;" days",IF(H122&gt;=Rules!$B$2,"idle &gt;= "&amp;Rules!$B$2&amp;" days",""))))</f>
        <v/>
      </c>
      <c r="J122" s="5">
        <f>IF(I122="","",IF(F122="Address issue",0,COUNTIF($I$2:$I$1001,"address issue"))+COUNTIFS($I$2:$I$1001,"?*",$F$2:$F$1001,IF(F122="Address issue","Address issue","&lt;&gt;Address issue"),$H$2:$H$1001,"&gt;"&amp;H122)+1)</f>
        <v/>
      </c>
    </row>
    <row r="123">
      <c r="A123" s="11" t="n">
        <v>100122</v>
      </c>
      <c r="B123" s="11" t="inlineStr">
        <is>
          <t>Бразилія</t>
        </is>
      </c>
      <c r="C123" s="11" t="inlineStr">
        <is>
          <t>SwiftParcel</t>
        </is>
      </c>
      <c r="D123" s="11" t="inlineStr">
        <is>
          <t>SP2251344</t>
        </is>
      </c>
      <c r="E123" s="12" t="n">
        <v>46282</v>
      </c>
      <c r="F123" s="11" t="inlineStr">
        <is>
          <t>Delivered</t>
        </is>
      </c>
      <c r="G123" s="12" t="n">
        <v>46285</v>
      </c>
      <c r="H123" s="5">
        <f>IF(G123="","",Rules!$B$1-G123)</f>
        <v/>
      </c>
      <c r="I123" s="5">
        <f>IF(F123="Address issue","address issue",IF(OR(F123="Delivered",F123="Returned to sender",G123=""),"",IF(AND(Rules!$B$3&lt;&gt;"",F123="Held at customs",H123&gt;=Rules!$B$3),"customs &gt;= "&amp;Rules!$B$3&amp;" days",IF(H123&gt;=Rules!$B$2,"idle &gt;= "&amp;Rules!$B$2&amp;" days",""))))</f>
        <v/>
      </c>
      <c r="J123" s="5">
        <f>IF(I123="","",IF(F123="Address issue",0,COUNTIF($I$2:$I$1001,"address issue"))+COUNTIFS($I$2:$I$1001,"?*",$F$2:$F$1001,IF(F123="Address issue","Address issue","&lt;&gt;Address issue"),$H$2:$H$1001,"&gt;"&amp;H123)+1)</f>
        <v/>
      </c>
    </row>
    <row r="124">
      <c r="A124" s="11" t="n">
        <v>100123</v>
      </c>
      <c r="B124" s="11" t="inlineStr">
        <is>
          <t>Бразилія</t>
        </is>
      </c>
      <c r="C124" s="11" t="inlineStr">
        <is>
          <t>AndesCargo</t>
        </is>
      </c>
      <c r="D124" s="11" t="inlineStr">
        <is>
          <t>AC48722272</t>
        </is>
      </c>
      <c r="E124" s="12" t="n">
        <v>46287</v>
      </c>
      <c r="F124" s="11" t="inlineStr">
        <is>
          <t>Delivered</t>
        </is>
      </c>
      <c r="G124" s="12" t="n">
        <v>46298</v>
      </c>
      <c r="H124" s="5">
        <f>IF(G124="","",Rules!$B$1-G124)</f>
        <v/>
      </c>
      <c r="I124" s="5">
        <f>IF(F124="Address issue","address issue",IF(OR(F124="Delivered",F124="Returned to sender",G124=""),"",IF(AND(Rules!$B$3&lt;&gt;"",F124="Held at customs",H124&gt;=Rules!$B$3),"customs &gt;= "&amp;Rules!$B$3&amp;" days",IF(H124&gt;=Rules!$B$2,"idle &gt;= "&amp;Rules!$B$2&amp;" days",""))))</f>
        <v/>
      </c>
      <c r="J124" s="5">
        <f>IF(I124="","",IF(F124="Address issue",0,COUNTIF($I$2:$I$1001,"address issue"))+COUNTIFS($I$2:$I$1001,"?*",$F$2:$F$1001,IF(F124="Address issue","Address issue","&lt;&gt;Address issue"),$H$2:$H$1001,"&gt;"&amp;H124)+1)</f>
        <v/>
      </c>
    </row>
    <row r="125">
      <c r="A125" s="11" t="n">
        <v>100124</v>
      </c>
      <c r="B125" s="11" t="inlineStr">
        <is>
          <t>Бразилія</t>
        </is>
      </c>
      <c r="C125" s="11" t="inlineStr">
        <is>
          <t>AndesCargo</t>
        </is>
      </c>
      <c r="D125" s="11" t="inlineStr">
        <is>
          <t>AC44170266</t>
        </is>
      </c>
      <c r="E125" s="12" t="n">
        <v>46290</v>
      </c>
      <c r="F125" s="11" t="inlineStr">
        <is>
          <t>Delivered</t>
        </is>
      </c>
      <c r="G125" s="12" t="n">
        <v>46294</v>
      </c>
      <c r="H125" s="5">
        <f>IF(G125="","",Rules!$B$1-G125)</f>
        <v/>
      </c>
      <c r="I125" s="5">
        <f>IF(F125="Address issue","address issue",IF(OR(F125="Delivered",F125="Returned to sender",G125=""),"",IF(AND(Rules!$B$3&lt;&gt;"",F125="Held at customs",H125&gt;=Rules!$B$3),"customs &gt;= "&amp;Rules!$B$3&amp;" days",IF(H125&gt;=Rules!$B$2,"idle &gt;= "&amp;Rules!$B$2&amp;" days",""))))</f>
        <v/>
      </c>
      <c r="J125" s="5">
        <f>IF(I125="","",IF(F125="Address issue",0,COUNTIF($I$2:$I$1001,"address issue"))+COUNTIFS($I$2:$I$1001,"?*",$F$2:$F$1001,IF(F125="Address issue","Address issue","&lt;&gt;Address issue"),$H$2:$H$1001,"&gt;"&amp;H125)+1)</f>
        <v/>
      </c>
    </row>
    <row r="126">
      <c r="A126" s="11" t="n">
        <v>100125</v>
      </c>
      <c r="B126" s="11" t="inlineStr">
        <is>
          <t>Бразилія</t>
        </is>
      </c>
      <c r="C126" s="11" t="inlineStr">
        <is>
          <t>SwiftParcel</t>
        </is>
      </c>
      <c r="D126" s="11" t="inlineStr">
        <is>
          <t>SP7556408</t>
        </is>
      </c>
      <c r="E126" s="12" t="n">
        <v>46284</v>
      </c>
      <c r="F126" s="11" t="inlineStr">
        <is>
          <t>Delivered</t>
        </is>
      </c>
      <c r="G126" s="12" t="n">
        <v>46290</v>
      </c>
      <c r="H126" s="5">
        <f>IF(G126="","",Rules!$B$1-G126)</f>
        <v/>
      </c>
      <c r="I126" s="5">
        <f>IF(F126="Address issue","address issue",IF(OR(F126="Delivered",F126="Returned to sender",G126=""),"",IF(AND(Rules!$B$3&lt;&gt;"",F126="Held at customs",H126&gt;=Rules!$B$3),"customs &gt;= "&amp;Rules!$B$3&amp;" days",IF(H126&gt;=Rules!$B$2,"idle &gt;= "&amp;Rules!$B$2&amp;" days",""))))</f>
        <v/>
      </c>
      <c r="J126" s="5">
        <f>IF(I126="","",IF(F126="Address issue",0,COUNTIF($I$2:$I$1001,"address issue"))+COUNTIFS($I$2:$I$1001,"?*",$F$2:$F$1001,IF(F126="Address issue","Address issue","&lt;&gt;Address issue"),$H$2:$H$1001,"&gt;"&amp;H126)+1)</f>
        <v/>
      </c>
    </row>
    <row r="127">
      <c r="A127" s="11" t="n">
        <v>100126</v>
      </c>
      <c r="B127" s="11" t="inlineStr">
        <is>
          <t>Мексика</t>
        </is>
      </c>
      <c r="C127" s="11" t="inlineStr">
        <is>
          <t>SwiftParcel</t>
        </is>
      </c>
      <c r="D127" s="11" t="inlineStr">
        <is>
          <t>SP4004006</t>
        </is>
      </c>
      <c r="E127" s="12" t="n">
        <v>46294</v>
      </c>
      <c r="F127" s="11" t="inlineStr">
        <is>
          <t>In transit</t>
        </is>
      </c>
      <c r="G127" s="12" t="n">
        <v>46297</v>
      </c>
      <c r="H127" s="5">
        <f>IF(G127="","",Rules!$B$1-G127)</f>
        <v/>
      </c>
      <c r="I127" s="5">
        <f>IF(F127="Address issue","address issue",IF(OR(F127="Delivered",F127="Returned to sender",G127=""),"",IF(AND(Rules!$B$3&lt;&gt;"",F127="Held at customs",H127&gt;=Rules!$B$3),"customs &gt;= "&amp;Rules!$B$3&amp;" days",IF(H127&gt;=Rules!$B$2,"idle &gt;= "&amp;Rules!$B$2&amp;" days",""))))</f>
        <v/>
      </c>
      <c r="J127" s="5">
        <f>IF(I127="","",IF(F127="Address issue",0,COUNTIF($I$2:$I$1001,"address issue"))+COUNTIFS($I$2:$I$1001,"?*",$F$2:$F$1001,IF(F127="Address issue","Address issue","&lt;&gt;Address issue"),$H$2:$H$1001,"&gt;"&amp;H127)+1)</f>
        <v/>
      </c>
    </row>
    <row r="128">
      <c r="A128" s="11" t="n">
        <v>100127</v>
      </c>
      <c r="B128" s="11" t="inlineStr">
        <is>
          <t>Мексика</t>
        </is>
      </c>
      <c r="C128" s="11" t="inlineStr">
        <is>
          <t>AndesCargo</t>
        </is>
      </c>
      <c r="D128" s="11" t="inlineStr">
        <is>
          <t>AC84874239</t>
        </is>
      </c>
      <c r="E128" s="12" t="n">
        <v>46275</v>
      </c>
      <c r="F128" s="11" t="inlineStr">
        <is>
          <t>Delivered</t>
        </is>
      </c>
      <c r="G128" s="12" t="n">
        <v>46286</v>
      </c>
      <c r="H128" s="5">
        <f>IF(G128="","",Rules!$B$1-G128)</f>
        <v/>
      </c>
      <c r="I128" s="5">
        <f>IF(F128="Address issue","address issue",IF(OR(F128="Delivered",F128="Returned to sender",G128=""),"",IF(AND(Rules!$B$3&lt;&gt;"",F128="Held at customs",H128&gt;=Rules!$B$3),"customs &gt;= "&amp;Rules!$B$3&amp;" days",IF(H128&gt;=Rules!$B$2,"idle &gt;= "&amp;Rules!$B$2&amp;" days",""))))</f>
        <v/>
      </c>
      <c r="J128" s="5">
        <f>IF(I128="","",IF(F128="Address issue",0,COUNTIF($I$2:$I$1001,"address issue"))+COUNTIFS($I$2:$I$1001,"?*",$F$2:$F$1001,IF(F128="Address issue","Address issue","&lt;&gt;Address issue"),$H$2:$H$1001,"&gt;"&amp;H128)+1)</f>
        <v/>
      </c>
    </row>
    <row r="129">
      <c r="A129" s="11" t="n">
        <v>100128</v>
      </c>
      <c r="B129" s="11" t="inlineStr">
        <is>
          <t>Мексика</t>
        </is>
      </c>
      <c r="C129" s="11" t="inlineStr">
        <is>
          <t>SwiftParcel</t>
        </is>
      </c>
      <c r="D129" s="11" t="inlineStr">
        <is>
          <t>SP9608696</t>
        </is>
      </c>
      <c r="E129" s="12" t="n">
        <v>46289</v>
      </c>
      <c r="F129" s="11" t="inlineStr">
        <is>
          <t>Delivered</t>
        </is>
      </c>
      <c r="G129" s="12" t="n">
        <v>46292</v>
      </c>
      <c r="H129" s="5">
        <f>IF(G129="","",Rules!$B$1-G129)</f>
        <v/>
      </c>
      <c r="I129" s="5">
        <f>IF(F129="Address issue","address issue",IF(OR(F129="Delivered",F129="Returned to sender",G129=""),"",IF(AND(Rules!$B$3&lt;&gt;"",F129="Held at customs",H129&gt;=Rules!$B$3),"customs &gt;= "&amp;Rules!$B$3&amp;" days",IF(H129&gt;=Rules!$B$2,"idle &gt;= "&amp;Rules!$B$2&amp;" days",""))))</f>
        <v/>
      </c>
      <c r="J129" s="5">
        <f>IF(I129="","",IF(F129="Address issue",0,COUNTIF($I$2:$I$1001,"address issue"))+COUNTIFS($I$2:$I$1001,"?*",$F$2:$F$1001,IF(F129="Address issue","Address issue","&lt;&gt;Address issue"),$H$2:$H$1001,"&gt;"&amp;H129)+1)</f>
        <v/>
      </c>
    </row>
    <row r="130">
      <c r="A130" s="11" t="n">
        <v>100129</v>
      </c>
      <c r="B130" s="11" t="inlineStr">
        <is>
          <t>Бразилія</t>
        </is>
      </c>
      <c r="C130" s="11" t="inlineStr">
        <is>
          <t>SwiftParcel</t>
        </is>
      </c>
      <c r="D130" s="11" t="inlineStr">
        <is>
          <t>SP4191685</t>
        </is>
      </c>
      <c r="E130" s="12" t="n">
        <v>46298</v>
      </c>
      <c r="F130" s="11" t="inlineStr">
        <is>
          <t>Delivered</t>
        </is>
      </c>
      <c r="G130" s="13" t="n">
        <v>46309</v>
      </c>
      <c r="H130" s="5">
        <f>IF(G130="","",Rules!$B$1-G130)</f>
        <v/>
      </c>
      <c r="I130" s="5">
        <f>IF(F130="Address issue","address issue",IF(OR(F130="Delivered",F130="Returned to sender",G130=""),"",IF(AND(Rules!$B$3&lt;&gt;"",F130="Held at customs",H130&gt;=Rules!$B$3),"customs &gt;= "&amp;Rules!$B$3&amp;" days",IF(H130&gt;=Rules!$B$2,"idle &gt;= "&amp;Rules!$B$2&amp;" days",""))))</f>
        <v/>
      </c>
      <c r="J130" s="5">
        <f>IF(I130="","",IF(F130="Address issue",0,COUNTIF($I$2:$I$1001,"address issue"))+COUNTIFS($I$2:$I$1001,"?*",$F$2:$F$1001,IF(F130="Address issue","Address issue","&lt;&gt;Address issue"),$H$2:$H$1001,"&gt;"&amp;H130)+1)</f>
        <v/>
      </c>
    </row>
    <row r="131">
      <c r="A131" s="11" t="n">
        <v>100130</v>
      </c>
      <c r="B131" s="11" t="inlineStr">
        <is>
          <t>Мексика</t>
        </is>
      </c>
      <c r="C131" s="11" t="inlineStr">
        <is>
          <t>AndesCargo</t>
        </is>
      </c>
      <c r="D131" s="11" t="inlineStr">
        <is>
          <t>AC43274682</t>
        </is>
      </c>
      <c r="E131" s="12" t="n">
        <v>46304</v>
      </c>
      <c r="F131" s="11" t="inlineStr">
        <is>
          <t>In transit</t>
        </is>
      </c>
      <c r="G131" s="13" t="n">
        <v>46306</v>
      </c>
      <c r="H131" s="5">
        <f>IF(G131="","",Rules!$B$1-G131)</f>
        <v/>
      </c>
      <c r="I131" s="5">
        <f>IF(F131="Address issue","address issue",IF(OR(F131="Delivered",F131="Returned to sender",G131=""),"",IF(AND(Rules!$B$3&lt;&gt;"",F131="Held at customs",H131&gt;=Rules!$B$3),"customs &gt;= "&amp;Rules!$B$3&amp;" days",IF(H131&gt;=Rules!$B$2,"idle &gt;= "&amp;Rules!$B$2&amp;" days",""))))</f>
        <v/>
      </c>
      <c r="J131" s="5">
        <f>IF(I131="","",IF(F131="Address issue",0,COUNTIF($I$2:$I$1001,"address issue"))+COUNTIFS($I$2:$I$1001,"?*",$F$2:$F$1001,IF(F131="Address issue","Address issue","&lt;&gt;Address issue"),$H$2:$H$1001,"&gt;"&amp;H131)+1)</f>
        <v/>
      </c>
    </row>
    <row r="132">
      <c r="A132" s="11" t="n">
        <v>100131</v>
      </c>
      <c r="B132" s="11" t="inlineStr">
        <is>
          <t>Мексика</t>
        </is>
      </c>
      <c r="C132" s="11" t="inlineStr">
        <is>
          <t>AndesCargo</t>
        </is>
      </c>
      <c r="D132" s="11" t="inlineStr">
        <is>
          <t>AC61940558</t>
        </is>
      </c>
      <c r="E132" s="12" t="n">
        <v>46289</v>
      </c>
      <c r="F132" s="11" t="inlineStr">
        <is>
          <t>Delivered</t>
        </is>
      </c>
      <c r="G132" s="12" t="n">
        <v>46292</v>
      </c>
      <c r="H132" s="5">
        <f>IF(G132="","",Rules!$B$1-G132)</f>
        <v/>
      </c>
      <c r="I132" s="5">
        <f>IF(F132="Address issue","address issue",IF(OR(F132="Delivered",F132="Returned to sender",G132=""),"",IF(AND(Rules!$B$3&lt;&gt;"",F132="Held at customs",H132&gt;=Rules!$B$3),"customs &gt;= "&amp;Rules!$B$3&amp;" days",IF(H132&gt;=Rules!$B$2,"idle &gt;= "&amp;Rules!$B$2&amp;" days",""))))</f>
        <v/>
      </c>
      <c r="J132" s="5">
        <f>IF(I132="","",IF(F132="Address issue",0,COUNTIF($I$2:$I$1001,"address issue"))+COUNTIFS($I$2:$I$1001,"?*",$F$2:$F$1001,IF(F132="Address issue","Address issue","&lt;&gt;Address issue"),$H$2:$H$1001,"&gt;"&amp;H132)+1)</f>
        <v/>
      </c>
    </row>
    <row r="133">
      <c r="A133" s="11" t="n">
        <v>100132</v>
      </c>
      <c r="B133" s="11" t="inlineStr">
        <is>
          <t>Мексика</t>
        </is>
      </c>
      <c r="C133" s="11" t="inlineStr">
        <is>
          <t>AndesCargo</t>
        </is>
      </c>
      <c r="D133" s="11" t="inlineStr">
        <is>
          <t>AC16037048</t>
        </is>
      </c>
      <c r="E133" s="12" t="n">
        <v>46274</v>
      </c>
      <c r="F133" s="11" t="inlineStr">
        <is>
          <t>Delivered</t>
        </is>
      </c>
      <c r="G133" s="12" t="n">
        <v>46284</v>
      </c>
      <c r="H133" s="5">
        <f>IF(G133="","",Rules!$B$1-G133)</f>
        <v/>
      </c>
      <c r="I133" s="5">
        <f>IF(F133="Address issue","address issue",IF(OR(F133="Delivered",F133="Returned to sender",G133=""),"",IF(AND(Rules!$B$3&lt;&gt;"",F133="Held at customs",H133&gt;=Rules!$B$3),"customs &gt;= "&amp;Rules!$B$3&amp;" days",IF(H133&gt;=Rules!$B$2,"idle &gt;= "&amp;Rules!$B$2&amp;" days",""))))</f>
        <v/>
      </c>
      <c r="J133" s="5">
        <f>IF(I133="","",IF(F133="Address issue",0,COUNTIF($I$2:$I$1001,"address issue"))+COUNTIFS($I$2:$I$1001,"?*",$F$2:$F$1001,IF(F133="Address issue","Address issue","&lt;&gt;Address issue"),$H$2:$H$1001,"&gt;"&amp;H133)+1)</f>
        <v/>
      </c>
    </row>
    <row r="134">
      <c r="A134" s="11" t="n">
        <v>100133</v>
      </c>
      <c r="B134" s="11" t="inlineStr">
        <is>
          <t>Бразилія</t>
        </is>
      </c>
      <c r="C134" s="11" t="inlineStr">
        <is>
          <t>AndesCargo</t>
        </is>
      </c>
      <c r="D134" s="11" t="inlineStr">
        <is>
          <t>AC51876967</t>
        </is>
      </c>
      <c r="E134" s="13" t="n">
        <v>46307</v>
      </c>
      <c r="F134" s="11" t="inlineStr">
        <is>
          <t>Delivered</t>
        </is>
      </c>
      <c r="G134" s="13" t="n">
        <v>46310</v>
      </c>
      <c r="H134" s="5">
        <f>IF(G134="","",Rules!$B$1-G134)</f>
        <v/>
      </c>
      <c r="I134" s="5">
        <f>IF(F134="Address issue","address issue",IF(OR(F134="Delivered",F134="Returned to sender",G134=""),"",IF(AND(Rules!$B$3&lt;&gt;"",F134="Held at customs",H134&gt;=Rules!$B$3),"customs &gt;= "&amp;Rules!$B$3&amp;" days",IF(H134&gt;=Rules!$B$2,"idle &gt;= "&amp;Rules!$B$2&amp;" days",""))))</f>
        <v/>
      </c>
      <c r="J134" s="5">
        <f>IF(I134="","",IF(F134="Address issue",0,COUNTIF($I$2:$I$1001,"address issue"))+COUNTIFS($I$2:$I$1001,"?*",$F$2:$F$1001,IF(F134="Address issue","Address issue","&lt;&gt;Address issue"),$H$2:$H$1001,"&gt;"&amp;H134)+1)</f>
        <v/>
      </c>
    </row>
    <row r="135">
      <c r="A135" s="11" t="n">
        <v>100134</v>
      </c>
      <c r="B135" s="11" t="inlineStr">
        <is>
          <t>Мексика</t>
        </is>
      </c>
      <c r="C135" s="11" t="inlineStr">
        <is>
          <t>AndesCargo</t>
        </is>
      </c>
      <c r="D135" s="11" t="inlineStr">
        <is>
          <t>AC81764645</t>
        </is>
      </c>
      <c r="E135" s="12" t="n">
        <v>46295</v>
      </c>
      <c r="F135" s="11" t="inlineStr">
        <is>
          <t>In transit</t>
        </is>
      </c>
      <c r="G135" s="12" t="n">
        <v>46301</v>
      </c>
      <c r="H135" s="5">
        <f>IF(G135="","",Rules!$B$1-G135)</f>
        <v/>
      </c>
      <c r="I135" s="5">
        <f>IF(F135="Address issue","address issue",IF(OR(F135="Delivered",F135="Returned to sender",G135=""),"",IF(AND(Rules!$B$3&lt;&gt;"",F135="Held at customs",H135&gt;=Rules!$B$3),"customs &gt;= "&amp;Rules!$B$3&amp;" days",IF(H135&gt;=Rules!$B$2,"idle &gt;= "&amp;Rules!$B$2&amp;" days",""))))</f>
        <v/>
      </c>
      <c r="J135" s="5">
        <f>IF(I135="","",IF(F135="Address issue",0,COUNTIF($I$2:$I$1001,"address issue"))+COUNTIFS($I$2:$I$1001,"?*",$F$2:$F$1001,IF(F135="Address issue","Address issue","&lt;&gt;Address issue"),$H$2:$H$1001,"&gt;"&amp;H135)+1)</f>
        <v/>
      </c>
    </row>
    <row r="136">
      <c r="A136" s="11" t="n">
        <v>100135</v>
      </c>
      <c r="B136" s="11" t="inlineStr">
        <is>
          <t>Мексика</t>
        </is>
      </c>
      <c r="C136" s="11" t="inlineStr">
        <is>
          <t>AndesCargo</t>
        </is>
      </c>
      <c r="D136" s="11" t="inlineStr">
        <is>
          <t>AC63080972</t>
        </is>
      </c>
      <c r="E136" s="12" t="n">
        <v>46301</v>
      </c>
      <c r="F136" s="11" t="inlineStr">
        <is>
          <t>Returned to sender</t>
        </is>
      </c>
      <c r="G136" s="12" t="n">
        <v>46304</v>
      </c>
      <c r="H136" s="5">
        <f>IF(G136="","",Rules!$B$1-G136)</f>
        <v/>
      </c>
      <c r="I136" s="5">
        <f>IF(F136="Address issue","address issue",IF(OR(F136="Delivered",F136="Returned to sender",G136=""),"",IF(AND(Rules!$B$3&lt;&gt;"",F136="Held at customs",H136&gt;=Rules!$B$3),"customs &gt;= "&amp;Rules!$B$3&amp;" days",IF(H136&gt;=Rules!$B$2,"idle &gt;= "&amp;Rules!$B$2&amp;" days",""))))</f>
        <v/>
      </c>
      <c r="J136" s="5">
        <f>IF(I136="","",IF(F136="Address issue",0,COUNTIF($I$2:$I$1001,"address issue"))+COUNTIFS($I$2:$I$1001,"?*",$F$2:$F$1001,IF(F136="Address issue","Address issue","&lt;&gt;Address issue"),$H$2:$H$1001,"&gt;"&amp;H136)+1)</f>
        <v/>
      </c>
    </row>
    <row r="137">
      <c r="A137" s="11" t="n">
        <v>100136</v>
      </c>
      <c r="B137" s="11" t="inlineStr">
        <is>
          <t>Мексика</t>
        </is>
      </c>
      <c r="C137" s="11" t="inlineStr">
        <is>
          <t>AndesCargo</t>
        </is>
      </c>
      <c r="D137" s="11" t="inlineStr">
        <is>
          <t>AC30332159</t>
        </is>
      </c>
      <c r="E137" s="12" t="n">
        <v>46302</v>
      </c>
      <c r="F137" s="11" t="inlineStr">
        <is>
          <t>Out for delivery</t>
        </is>
      </c>
      <c r="G137" s="13" t="n">
        <v>46308</v>
      </c>
      <c r="H137" s="5">
        <f>IF(G137="","",Rules!$B$1-G137)</f>
        <v/>
      </c>
      <c r="I137" s="5">
        <f>IF(F137="Address issue","address issue",IF(OR(F137="Delivered",F137="Returned to sender",G137=""),"",IF(AND(Rules!$B$3&lt;&gt;"",F137="Held at customs",H137&gt;=Rules!$B$3),"customs &gt;= "&amp;Rules!$B$3&amp;" days",IF(H137&gt;=Rules!$B$2,"idle &gt;= "&amp;Rules!$B$2&amp;" days",""))))</f>
        <v/>
      </c>
      <c r="J137" s="5">
        <f>IF(I137="","",IF(F137="Address issue",0,COUNTIF($I$2:$I$1001,"address issue"))+COUNTIFS($I$2:$I$1001,"?*",$F$2:$F$1001,IF(F137="Address issue","Address issue","&lt;&gt;Address issue"),$H$2:$H$1001,"&gt;"&amp;H137)+1)</f>
        <v/>
      </c>
    </row>
    <row r="138">
      <c r="A138" s="11" t="n">
        <v>100137</v>
      </c>
      <c r="B138" s="11" t="inlineStr">
        <is>
          <t>Канада</t>
        </is>
      </c>
      <c r="C138" s="11" t="inlineStr">
        <is>
          <t>PostLink</t>
        </is>
      </c>
      <c r="D138" s="11" t="inlineStr">
        <is>
          <t>PL21229122</t>
        </is>
      </c>
      <c r="E138" s="12" t="n">
        <v>46293</v>
      </c>
      <c r="F138" s="11" t="inlineStr">
        <is>
          <t>Delivered</t>
        </is>
      </c>
      <c r="G138" s="13" t="n">
        <v>46305</v>
      </c>
      <c r="H138" s="5">
        <f>IF(G138="","",Rules!$B$1-G138)</f>
        <v/>
      </c>
      <c r="I138" s="5">
        <f>IF(F138="Address issue","address issue",IF(OR(F138="Delivered",F138="Returned to sender",G138=""),"",IF(AND(Rules!$B$3&lt;&gt;"",F138="Held at customs",H138&gt;=Rules!$B$3),"customs &gt;= "&amp;Rules!$B$3&amp;" days",IF(H138&gt;=Rules!$B$2,"idle &gt;= "&amp;Rules!$B$2&amp;" days",""))))</f>
        <v/>
      </c>
      <c r="J138" s="5">
        <f>IF(I138="","",IF(F138="Address issue",0,COUNTIF($I$2:$I$1001,"address issue"))+COUNTIFS($I$2:$I$1001,"?*",$F$2:$F$1001,IF(F138="Address issue","Address issue","&lt;&gt;Address issue"),$H$2:$H$1001,"&gt;"&amp;H138)+1)</f>
        <v/>
      </c>
    </row>
    <row r="139">
      <c r="A139" s="11" t="n">
        <v>100138</v>
      </c>
      <c r="B139" s="11" t="inlineStr">
        <is>
          <t>Мексика</t>
        </is>
      </c>
      <c r="C139" s="11" t="inlineStr">
        <is>
          <t>AndesCargo</t>
        </is>
      </c>
      <c r="D139" s="11" t="inlineStr">
        <is>
          <t>AC44226817</t>
        </is>
      </c>
      <c r="E139" s="12" t="n">
        <v>46299</v>
      </c>
      <c r="F139" s="11" t="inlineStr">
        <is>
          <t>Delivered</t>
        </is>
      </c>
      <c r="G139" s="13" t="n">
        <v>46306</v>
      </c>
      <c r="H139" s="5">
        <f>IF(G139="","",Rules!$B$1-G139)</f>
        <v/>
      </c>
      <c r="I139" s="5">
        <f>IF(F139="Address issue","address issue",IF(OR(F139="Delivered",F139="Returned to sender",G139=""),"",IF(AND(Rules!$B$3&lt;&gt;"",F139="Held at customs",H139&gt;=Rules!$B$3),"customs &gt;= "&amp;Rules!$B$3&amp;" days",IF(H139&gt;=Rules!$B$2,"idle &gt;= "&amp;Rules!$B$2&amp;" days",""))))</f>
        <v/>
      </c>
      <c r="J139" s="5">
        <f>IF(I139="","",IF(F139="Address issue",0,COUNTIF($I$2:$I$1001,"address issue"))+COUNTIFS($I$2:$I$1001,"?*",$F$2:$F$1001,IF(F139="Address issue","Address issue","&lt;&gt;Address issue"),$H$2:$H$1001,"&gt;"&amp;H139)+1)</f>
        <v/>
      </c>
    </row>
    <row r="140">
      <c r="A140" s="11" t="n">
        <v>100139</v>
      </c>
      <c r="B140" s="11" t="inlineStr">
        <is>
          <t>Мексика</t>
        </is>
      </c>
      <c r="C140" s="11" t="inlineStr">
        <is>
          <t>AndesCargo</t>
        </is>
      </c>
      <c r="D140" s="11" t="inlineStr">
        <is>
          <t>AC11807668</t>
        </is>
      </c>
      <c r="E140" s="12" t="n">
        <v>46282</v>
      </c>
      <c r="F140" s="11" t="inlineStr">
        <is>
          <t>Delivered</t>
        </is>
      </c>
      <c r="G140" s="12" t="n">
        <v>46292</v>
      </c>
      <c r="H140" s="5">
        <f>IF(G140="","",Rules!$B$1-G140)</f>
        <v/>
      </c>
      <c r="I140" s="5">
        <f>IF(F140="Address issue","address issue",IF(OR(F140="Delivered",F140="Returned to sender",G140=""),"",IF(AND(Rules!$B$3&lt;&gt;"",F140="Held at customs",H140&gt;=Rules!$B$3),"customs &gt;= "&amp;Rules!$B$3&amp;" days",IF(H140&gt;=Rules!$B$2,"idle &gt;= "&amp;Rules!$B$2&amp;" days",""))))</f>
        <v/>
      </c>
      <c r="J140" s="5">
        <f>IF(I140="","",IF(F140="Address issue",0,COUNTIF($I$2:$I$1001,"address issue"))+COUNTIFS($I$2:$I$1001,"?*",$F$2:$F$1001,IF(F140="Address issue","Address issue","&lt;&gt;Address issue"),$H$2:$H$1001,"&gt;"&amp;H140)+1)</f>
        <v/>
      </c>
    </row>
    <row r="141">
      <c r="A141" s="11" t="n">
        <v>100140</v>
      </c>
      <c r="B141" s="11" t="inlineStr">
        <is>
          <t>Мексика</t>
        </is>
      </c>
      <c r="C141" s="11" t="inlineStr">
        <is>
          <t>AndesCargo</t>
        </is>
      </c>
      <c r="D141" s="11" t="inlineStr">
        <is>
          <t>AC36374279</t>
        </is>
      </c>
      <c r="E141" s="12" t="n">
        <v>46296</v>
      </c>
      <c r="F141" s="11" t="inlineStr">
        <is>
          <t>Delivered</t>
        </is>
      </c>
      <c r="G141" s="12" t="n">
        <v>46302</v>
      </c>
      <c r="H141" s="5">
        <f>IF(G141="","",Rules!$B$1-G141)</f>
        <v/>
      </c>
      <c r="I141" s="5">
        <f>IF(F141="Address issue","address issue",IF(OR(F141="Delivered",F141="Returned to sender",G141=""),"",IF(AND(Rules!$B$3&lt;&gt;"",F141="Held at customs",H141&gt;=Rules!$B$3),"customs &gt;= "&amp;Rules!$B$3&amp;" days",IF(H141&gt;=Rules!$B$2,"idle &gt;= "&amp;Rules!$B$2&amp;" days",""))))</f>
        <v/>
      </c>
      <c r="J141" s="5">
        <f>IF(I141="","",IF(F141="Address issue",0,COUNTIF($I$2:$I$1001,"address issue"))+COUNTIFS($I$2:$I$1001,"?*",$F$2:$F$1001,IF(F141="Address issue","Address issue","&lt;&gt;Address issue"),$H$2:$H$1001,"&gt;"&amp;H141)+1)</f>
        <v/>
      </c>
    </row>
    <row r="142">
      <c r="A142" s="11" t="n">
        <v>100141</v>
      </c>
      <c r="B142" s="11" t="inlineStr">
        <is>
          <t>Бразилія</t>
        </is>
      </c>
      <c r="C142" s="11" t="inlineStr">
        <is>
          <t>SwiftParcel</t>
        </is>
      </c>
      <c r="D142" s="11" t="inlineStr">
        <is>
          <t>SP5023654</t>
        </is>
      </c>
      <c r="E142" s="12" t="n">
        <v>46299</v>
      </c>
      <c r="F142" s="11" t="inlineStr">
        <is>
          <t>In transit</t>
        </is>
      </c>
      <c r="G142" s="13" t="n">
        <v>46306</v>
      </c>
      <c r="H142" s="5">
        <f>IF(G142="","",Rules!$B$1-G142)</f>
        <v/>
      </c>
      <c r="I142" s="5">
        <f>IF(F142="Address issue","address issue",IF(OR(F142="Delivered",F142="Returned to sender",G142=""),"",IF(AND(Rules!$B$3&lt;&gt;"",F142="Held at customs",H142&gt;=Rules!$B$3),"customs &gt;= "&amp;Rules!$B$3&amp;" days",IF(H142&gt;=Rules!$B$2,"idle &gt;= "&amp;Rules!$B$2&amp;" days",""))))</f>
        <v/>
      </c>
      <c r="J142" s="5">
        <f>IF(I142="","",IF(F142="Address issue",0,COUNTIF($I$2:$I$1001,"address issue"))+COUNTIFS($I$2:$I$1001,"?*",$F$2:$F$1001,IF(F142="Address issue","Address issue","&lt;&gt;Address issue"),$H$2:$H$1001,"&gt;"&amp;H142)+1)</f>
        <v/>
      </c>
    </row>
    <row r="143">
      <c r="A143" s="11" t="n">
        <v>100142</v>
      </c>
      <c r="B143" s="11" t="inlineStr">
        <is>
          <t>Канада</t>
        </is>
      </c>
      <c r="C143" s="11" t="inlineStr">
        <is>
          <t>PostLink</t>
        </is>
      </c>
      <c r="D143" s="11" t="inlineStr">
        <is>
          <t>PL21082317</t>
        </is>
      </c>
      <c r="E143" s="12" t="n">
        <v>46292</v>
      </c>
      <c r="F143" s="11" t="inlineStr">
        <is>
          <t>Delivered</t>
        </is>
      </c>
      <c r="G143" s="12" t="n">
        <v>46298</v>
      </c>
      <c r="H143" s="5">
        <f>IF(G143="","",Rules!$B$1-G143)</f>
        <v/>
      </c>
      <c r="I143" s="5">
        <f>IF(F143="Address issue","address issue",IF(OR(F143="Delivered",F143="Returned to sender",G143=""),"",IF(AND(Rules!$B$3&lt;&gt;"",F143="Held at customs",H143&gt;=Rules!$B$3),"customs &gt;= "&amp;Rules!$B$3&amp;" days",IF(H143&gt;=Rules!$B$2,"idle &gt;= "&amp;Rules!$B$2&amp;" days",""))))</f>
        <v/>
      </c>
      <c r="J143" s="5">
        <f>IF(I143="","",IF(F143="Address issue",0,COUNTIF($I$2:$I$1001,"address issue"))+COUNTIFS($I$2:$I$1001,"?*",$F$2:$F$1001,IF(F143="Address issue","Address issue","&lt;&gt;Address issue"),$H$2:$H$1001,"&gt;"&amp;H143)+1)</f>
        <v/>
      </c>
    </row>
    <row r="144">
      <c r="A144" s="11" t="n">
        <v>100143</v>
      </c>
      <c r="B144" s="11" t="inlineStr">
        <is>
          <t>Мексика</t>
        </is>
      </c>
      <c r="C144" s="11" t="inlineStr">
        <is>
          <t>AndesCargo</t>
        </is>
      </c>
      <c r="D144" s="11" t="inlineStr">
        <is>
          <t>AC14061517</t>
        </is>
      </c>
      <c r="E144" s="12" t="n">
        <v>46282</v>
      </c>
      <c r="F144" s="11" t="inlineStr">
        <is>
          <t>Delivered</t>
        </is>
      </c>
      <c r="G144" s="12" t="n">
        <v>46285</v>
      </c>
      <c r="H144" s="5">
        <f>IF(G144="","",Rules!$B$1-G144)</f>
        <v/>
      </c>
      <c r="I144" s="5">
        <f>IF(F144="Address issue","address issue",IF(OR(F144="Delivered",F144="Returned to sender",G144=""),"",IF(AND(Rules!$B$3&lt;&gt;"",F144="Held at customs",H144&gt;=Rules!$B$3),"customs &gt;= "&amp;Rules!$B$3&amp;" days",IF(H144&gt;=Rules!$B$2,"idle &gt;= "&amp;Rules!$B$2&amp;" days",""))))</f>
        <v/>
      </c>
      <c r="J144" s="5">
        <f>IF(I144="","",IF(F144="Address issue",0,COUNTIF($I$2:$I$1001,"address issue"))+COUNTIFS($I$2:$I$1001,"?*",$F$2:$F$1001,IF(F144="Address issue","Address issue","&lt;&gt;Address issue"),$H$2:$H$1001,"&gt;"&amp;H144)+1)</f>
        <v/>
      </c>
    </row>
    <row r="145">
      <c r="A145" s="11" t="n">
        <v>100144</v>
      </c>
      <c r="B145" s="11" t="inlineStr">
        <is>
          <t>Мексика</t>
        </is>
      </c>
      <c r="C145" s="11" t="inlineStr">
        <is>
          <t>SwiftParcel</t>
        </is>
      </c>
      <c r="D145" s="11" t="inlineStr">
        <is>
          <t>SP3167208</t>
        </is>
      </c>
      <c r="E145" s="12" t="n">
        <v>46284</v>
      </c>
      <c r="F145" s="11" t="inlineStr">
        <is>
          <t>Delivered</t>
        </is>
      </c>
      <c r="G145" s="12" t="n">
        <v>46289</v>
      </c>
      <c r="H145" s="5">
        <f>IF(G145="","",Rules!$B$1-G145)</f>
        <v/>
      </c>
      <c r="I145" s="5">
        <f>IF(F145="Address issue","address issue",IF(OR(F145="Delivered",F145="Returned to sender",G145=""),"",IF(AND(Rules!$B$3&lt;&gt;"",F145="Held at customs",H145&gt;=Rules!$B$3),"customs &gt;= "&amp;Rules!$B$3&amp;" days",IF(H145&gt;=Rules!$B$2,"idle &gt;= "&amp;Rules!$B$2&amp;" days",""))))</f>
        <v/>
      </c>
      <c r="J145" s="5">
        <f>IF(I145="","",IF(F145="Address issue",0,COUNTIF($I$2:$I$1001,"address issue"))+COUNTIFS($I$2:$I$1001,"?*",$F$2:$F$1001,IF(F145="Address issue","Address issue","&lt;&gt;Address issue"),$H$2:$H$1001,"&gt;"&amp;H145)+1)</f>
        <v/>
      </c>
    </row>
    <row r="146">
      <c r="A146" s="11" t="n">
        <v>100145</v>
      </c>
      <c r="B146" s="11" t="inlineStr">
        <is>
          <t>Мексика</t>
        </is>
      </c>
      <c r="C146" s="11" t="inlineStr">
        <is>
          <t>AndesCargo</t>
        </is>
      </c>
      <c r="D146" s="11" t="inlineStr">
        <is>
          <t>AC28713583</t>
        </is>
      </c>
      <c r="E146" s="12" t="n">
        <v>46297</v>
      </c>
      <c r="F146" s="11" t="inlineStr">
        <is>
          <t>In transit</t>
        </is>
      </c>
      <c r="G146" s="12" t="n">
        <v>46304</v>
      </c>
      <c r="H146" s="5">
        <f>IF(G146="","",Rules!$B$1-G146)</f>
        <v/>
      </c>
      <c r="I146" s="5">
        <f>IF(F146="Address issue","address issue",IF(OR(F146="Delivered",F146="Returned to sender",G146=""),"",IF(AND(Rules!$B$3&lt;&gt;"",F146="Held at customs",H146&gt;=Rules!$B$3),"customs &gt;= "&amp;Rules!$B$3&amp;" days",IF(H146&gt;=Rules!$B$2,"idle &gt;= "&amp;Rules!$B$2&amp;" days",""))))</f>
        <v/>
      </c>
      <c r="J146" s="5">
        <f>IF(I146="","",IF(F146="Address issue",0,COUNTIF($I$2:$I$1001,"address issue"))+COUNTIFS($I$2:$I$1001,"?*",$F$2:$F$1001,IF(F146="Address issue","Address issue","&lt;&gt;Address issue"),$H$2:$H$1001,"&gt;"&amp;H146)+1)</f>
        <v/>
      </c>
    </row>
    <row r="147">
      <c r="A147" s="11" t="n">
        <v>100146</v>
      </c>
      <c r="B147" s="11" t="inlineStr">
        <is>
          <t>Канада</t>
        </is>
      </c>
      <c r="C147" s="11" t="inlineStr">
        <is>
          <t>PostLink</t>
        </is>
      </c>
      <c r="D147" s="11" t="inlineStr">
        <is>
          <t>PL40212322</t>
        </is>
      </c>
      <c r="E147" s="13" t="n">
        <v>46305</v>
      </c>
      <c r="F147" s="11" t="inlineStr">
        <is>
          <t>In transit</t>
        </is>
      </c>
      <c r="G147" s="13" t="n">
        <v>46308</v>
      </c>
      <c r="H147" s="5">
        <f>IF(G147="","",Rules!$B$1-G147)</f>
        <v/>
      </c>
      <c r="I147" s="5">
        <f>IF(F147="Address issue","address issue",IF(OR(F147="Delivered",F147="Returned to sender",G147=""),"",IF(AND(Rules!$B$3&lt;&gt;"",F147="Held at customs",H147&gt;=Rules!$B$3),"customs &gt;= "&amp;Rules!$B$3&amp;" days",IF(H147&gt;=Rules!$B$2,"idle &gt;= "&amp;Rules!$B$2&amp;" days",""))))</f>
        <v/>
      </c>
      <c r="J147" s="5">
        <f>IF(I147="","",IF(F147="Address issue",0,COUNTIF($I$2:$I$1001,"address issue"))+COUNTIFS($I$2:$I$1001,"?*",$F$2:$F$1001,IF(F147="Address issue","Address issue","&lt;&gt;Address issue"),$H$2:$H$1001,"&gt;"&amp;H147)+1)</f>
        <v/>
      </c>
    </row>
    <row r="148">
      <c r="A148" s="11" t="n">
        <v>100147</v>
      </c>
      <c r="B148" s="11" t="inlineStr">
        <is>
          <t>Мексика</t>
        </is>
      </c>
      <c r="C148" s="11" t="inlineStr">
        <is>
          <t>AndesCargo</t>
        </is>
      </c>
      <c r="D148" s="11" t="inlineStr">
        <is>
          <t>AC49160575</t>
        </is>
      </c>
      <c r="E148" s="12" t="n">
        <v>46284</v>
      </c>
      <c r="F148" s="11" t="inlineStr">
        <is>
          <t>Delivered</t>
        </is>
      </c>
      <c r="G148" s="12" t="n">
        <v>46295</v>
      </c>
      <c r="H148" s="5">
        <f>IF(G148="","",Rules!$B$1-G148)</f>
        <v/>
      </c>
      <c r="I148" s="5">
        <f>IF(F148="Address issue","address issue",IF(OR(F148="Delivered",F148="Returned to sender",G148=""),"",IF(AND(Rules!$B$3&lt;&gt;"",F148="Held at customs",H148&gt;=Rules!$B$3),"customs &gt;= "&amp;Rules!$B$3&amp;" days",IF(H148&gt;=Rules!$B$2,"idle &gt;= "&amp;Rules!$B$2&amp;" days",""))))</f>
        <v/>
      </c>
      <c r="J148" s="5">
        <f>IF(I148="","",IF(F148="Address issue",0,COUNTIF($I$2:$I$1001,"address issue"))+COUNTIFS($I$2:$I$1001,"?*",$F$2:$F$1001,IF(F148="Address issue","Address issue","&lt;&gt;Address issue"),$H$2:$H$1001,"&gt;"&amp;H148)+1)</f>
        <v/>
      </c>
    </row>
    <row r="149">
      <c r="A149" s="11" t="n">
        <v>100148</v>
      </c>
      <c r="B149" s="11" t="inlineStr">
        <is>
          <t>Мексика</t>
        </is>
      </c>
      <c r="C149" s="11" t="inlineStr">
        <is>
          <t>AndesCargo</t>
        </is>
      </c>
      <c r="D149" s="11" t="inlineStr">
        <is>
          <t>AC48962841</t>
        </is>
      </c>
      <c r="E149" s="12" t="n">
        <v>46295</v>
      </c>
      <c r="F149" s="11" t="inlineStr">
        <is>
          <t>Out for delivery</t>
        </is>
      </c>
      <c r="G149" s="12" t="n">
        <v>46296</v>
      </c>
      <c r="H149" s="5">
        <f>IF(G149="","",Rules!$B$1-G149)</f>
        <v/>
      </c>
      <c r="I149" s="5">
        <f>IF(F149="Address issue","address issue",IF(OR(F149="Delivered",F149="Returned to sender",G149=""),"",IF(AND(Rules!$B$3&lt;&gt;"",F149="Held at customs",H149&gt;=Rules!$B$3),"customs &gt;= "&amp;Rules!$B$3&amp;" days",IF(H149&gt;=Rules!$B$2,"idle &gt;= "&amp;Rules!$B$2&amp;" days",""))))</f>
        <v/>
      </c>
      <c r="J149" s="5">
        <f>IF(I149="","",IF(F149="Address issue",0,COUNTIF($I$2:$I$1001,"address issue"))+COUNTIFS($I$2:$I$1001,"?*",$F$2:$F$1001,IF(F149="Address issue","Address issue","&lt;&gt;Address issue"),$H$2:$H$1001,"&gt;"&amp;H149)+1)</f>
        <v/>
      </c>
    </row>
    <row r="150">
      <c r="A150" s="11" t="n">
        <v>100149</v>
      </c>
      <c r="B150" s="11" t="inlineStr">
        <is>
          <t>Мексика</t>
        </is>
      </c>
      <c r="C150" s="11" t="inlineStr">
        <is>
          <t>AndesCargo</t>
        </is>
      </c>
      <c r="D150" s="11" t="inlineStr">
        <is>
          <t>AC44211637</t>
        </is>
      </c>
      <c r="E150" s="12" t="n">
        <v>46290</v>
      </c>
      <c r="F150" s="11" t="inlineStr">
        <is>
          <t>In transit</t>
        </is>
      </c>
      <c r="G150" s="12" t="n">
        <v>46298</v>
      </c>
      <c r="H150" s="5">
        <f>IF(G150="","",Rules!$B$1-G150)</f>
        <v/>
      </c>
      <c r="I150" s="5">
        <f>IF(F150="Address issue","address issue",IF(OR(F150="Delivered",F150="Returned to sender",G150=""),"",IF(AND(Rules!$B$3&lt;&gt;"",F150="Held at customs",H150&gt;=Rules!$B$3),"customs &gt;= "&amp;Rules!$B$3&amp;" days",IF(H150&gt;=Rules!$B$2,"idle &gt;= "&amp;Rules!$B$2&amp;" days",""))))</f>
        <v/>
      </c>
      <c r="J150" s="5">
        <f>IF(I150="","",IF(F150="Address issue",0,COUNTIF($I$2:$I$1001,"address issue"))+COUNTIFS($I$2:$I$1001,"?*",$F$2:$F$1001,IF(F150="Address issue","Address issue","&lt;&gt;Address issue"),$H$2:$H$1001,"&gt;"&amp;H150)+1)</f>
        <v/>
      </c>
    </row>
    <row r="151">
      <c r="A151" s="11" t="n">
        <v>100150</v>
      </c>
      <c r="B151" s="11" t="inlineStr">
        <is>
          <t>Канада</t>
        </is>
      </c>
      <c r="C151" s="11" t="inlineStr">
        <is>
          <t>PostLink</t>
        </is>
      </c>
      <c r="D151" s="11" t="inlineStr">
        <is>
          <t>PL31461665</t>
        </is>
      </c>
      <c r="E151" s="12" t="n">
        <v>46277</v>
      </c>
      <c r="F151" s="11" t="inlineStr">
        <is>
          <t>Delivered</t>
        </is>
      </c>
      <c r="G151" s="12" t="n">
        <v>46285</v>
      </c>
      <c r="H151" s="5">
        <f>IF(G151="","",Rules!$B$1-G151)</f>
        <v/>
      </c>
      <c r="I151" s="5">
        <f>IF(F151="Address issue","address issue",IF(OR(F151="Delivered",F151="Returned to sender",G151=""),"",IF(AND(Rules!$B$3&lt;&gt;"",F151="Held at customs",H151&gt;=Rules!$B$3),"customs &gt;= "&amp;Rules!$B$3&amp;" days",IF(H151&gt;=Rules!$B$2,"idle &gt;= "&amp;Rules!$B$2&amp;" days",""))))</f>
        <v/>
      </c>
      <c r="J151" s="5">
        <f>IF(I151="","",IF(F151="Address issue",0,COUNTIF($I$2:$I$1001,"address issue"))+COUNTIFS($I$2:$I$1001,"?*",$F$2:$F$1001,IF(F151="Address issue","Address issue","&lt;&gt;Address issue"),$H$2:$H$1001,"&gt;"&amp;H151)+1)</f>
        <v/>
      </c>
    </row>
    <row r="152">
      <c r="A152" s="11" t="n">
        <v>100151</v>
      </c>
      <c r="B152" s="11" t="inlineStr">
        <is>
          <t>Канада</t>
        </is>
      </c>
      <c r="C152" s="11" t="inlineStr">
        <is>
          <t>PostLink</t>
        </is>
      </c>
      <c r="D152" s="11" t="inlineStr">
        <is>
          <t>PL25101872</t>
        </is>
      </c>
      <c r="E152" s="12" t="n">
        <v>46297</v>
      </c>
      <c r="F152" s="11" t="inlineStr">
        <is>
          <t>Held at customs</t>
        </is>
      </c>
      <c r="G152" s="12" t="n">
        <v>46299</v>
      </c>
      <c r="H152" s="5">
        <f>IF(G152="","",Rules!$B$1-G152)</f>
        <v/>
      </c>
      <c r="I152" s="5">
        <f>IF(F152="Address issue","address issue",IF(OR(F152="Delivered",F152="Returned to sender",G152=""),"",IF(AND(Rules!$B$3&lt;&gt;"",F152="Held at customs",H152&gt;=Rules!$B$3),"customs &gt;= "&amp;Rules!$B$3&amp;" days",IF(H152&gt;=Rules!$B$2,"idle &gt;= "&amp;Rules!$B$2&amp;" days",""))))</f>
        <v/>
      </c>
      <c r="J152" s="5">
        <f>IF(I152="","",IF(F152="Address issue",0,COUNTIF($I$2:$I$1001,"address issue"))+COUNTIFS($I$2:$I$1001,"?*",$F$2:$F$1001,IF(F152="Address issue","Address issue","&lt;&gt;Address issue"),$H$2:$H$1001,"&gt;"&amp;H152)+1)</f>
        <v/>
      </c>
    </row>
    <row r="153">
      <c r="A153" s="11" t="n">
        <v>100152</v>
      </c>
      <c r="B153" s="11" t="inlineStr">
        <is>
          <t>Бразилія</t>
        </is>
      </c>
      <c r="C153" s="11" t="inlineStr">
        <is>
          <t>AndesCargo</t>
        </is>
      </c>
      <c r="D153" s="11" t="inlineStr">
        <is>
          <t>AC26316291</t>
        </is>
      </c>
      <c r="E153" s="12" t="n">
        <v>46302</v>
      </c>
      <c r="F153" s="11" t="inlineStr">
        <is>
          <t>In transit</t>
        </is>
      </c>
      <c r="G153" s="13" t="n">
        <v>46309</v>
      </c>
      <c r="H153" s="5">
        <f>IF(G153="","",Rules!$B$1-G153)</f>
        <v/>
      </c>
      <c r="I153" s="5">
        <f>IF(F153="Address issue","address issue",IF(OR(F153="Delivered",F153="Returned to sender",G153=""),"",IF(AND(Rules!$B$3&lt;&gt;"",F153="Held at customs",H153&gt;=Rules!$B$3),"customs &gt;= "&amp;Rules!$B$3&amp;" days",IF(H153&gt;=Rules!$B$2,"idle &gt;= "&amp;Rules!$B$2&amp;" days",""))))</f>
        <v/>
      </c>
      <c r="J153" s="5">
        <f>IF(I153="","",IF(F153="Address issue",0,COUNTIF($I$2:$I$1001,"address issue"))+COUNTIFS($I$2:$I$1001,"?*",$F$2:$F$1001,IF(F153="Address issue","Address issue","&lt;&gt;Address issue"),$H$2:$H$1001,"&gt;"&amp;H153)+1)</f>
        <v/>
      </c>
    </row>
    <row r="154">
      <c r="A154" s="11" t="n">
        <v>100153</v>
      </c>
      <c r="B154" s="11" t="inlineStr">
        <is>
          <t>Канада</t>
        </is>
      </c>
      <c r="C154" s="11" t="inlineStr">
        <is>
          <t>PostLink</t>
        </is>
      </c>
      <c r="D154" s="11" t="inlineStr">
        <is>
          <t>PL61515518</t>
        </is>
      </c>
      <c r="E154" s="12" t="n">
        <v>46304</v>
      </c>
      <c r="F154" s="11" t="inlineStr">
        <is>
          <t>Label created</t>
        </is>
      </c>
      <c r="G154" s="12" t="n">
        <v>46304</v>
      </c>
      <c r="H154" s="5">
        <f>IF(G154="","",Rules!$B$1-G154)</f>
        <v/>
      </c>
      <c r="I154" s="5">
        <f>IF(F154="Address issue","address issue",IF(OR(F154="Delivered",F154="Returned to sender",G154=""),"",IF(AND(Rules!$B$3&lt;&gt;"",F154="Held at customs",H154&gt;=Rules!$B$3),"customs &gt;= "&amp;Rules!$B$3&amp;" days",IF(H154&gt;=Rules!$B$2,"idle &gt;= "&amp;Rules!$B$2&amp;" days",""))))</f>
        <v/>
      </c>
      <c r="J154" s="5">
        <f>IF(I154="","",IF(F154="Address issue",0,COUNTIF($I$2:$I$1001,"address issue"))+COUNTIFS($I$2:$I$1001,"?*",$F$2:$F$1001,IF(F154="Address issue","Address issue","&lt;&gt;Address issue"),$H$2:$H$1001,"&gt;"&amp;H154)+1)</f>
        <v/>
      </c>
    </row>
    <row r="155">
      <c r="A155" s="11" t="n">
        <v>100154</v>
      </c>
      <c r="B155" s="11" t="inlineStr">
        <is>
          <t>Мексика</t>
        </is>
      </c>
      <c r="C155" s="11" t="inlineStr">
        <is>
          <t>AndesCargo</t>
        </is>
      </c>
      <c r="D155" s="11" t="inlineStr">
        <is>
          <t>AC44172373</t>
        </is>
      </c>
      <c r="E155" s="12" t="n">
        <v>46272</v>
      </c>
      <c r="F155" s="11" t="inlineStr">
        <is>
          <t>Delivered</t>
        </is>
      </c>
      <c r="G155" s="12" t="n">
        <v>46284</v>
      </c>
      <c r="H155" s="5">
        <f>IF(G155="","",Rules!$B$1-G155)</f>
        <v/>
      </c>
      <c r="I155" s="5">
        <f>IF(F155="Address issue","address issue",IF(OR(F155="Delivered",F155="Returned to sender",G155=""),"",IF(AND(Rules!$B$3&lt;&gt;"",F155="Held at customs",H155&gt;=Rules!$B$3),"customs &gt;= "&amp;Rules!$B$3&amp;" days",IF(H155&gt;=Rules!$B$2,"idle &gt;= "&amp;Rules!$B$2&amp;" days",""))))</f>
        <v/>
      </c>
      <c r="J155" s="5">
        <f>IF(I155="","",IF(F155="Address issue",0,COUNTIF($I$2:$I$1001,"address issue"))+COUNTIFS($I$2:$I$1001,"?*",$F$2:$F$1001,IF(F155="Address issue","Address issue","&lt;&gt;Address issue"),$H$2:$H$1001,"&gt;"&amp;H155)+1)</f>
        <v/>
      </c>
    </row>
    <row r="156">
      <c r="A156" s="11" t="n">
        <v>100155</v>
      </c>
      <c r="B156" s="11" t="inlineStr">
        <is>
          <t>Канада</t>
        </is>
      </c>
      <c r="C156" s="11" t="inlineStr">
        <is>
          <t>PostLink</t>
        </is>
      </c>
      <c r="D156" s="11" t="inlineStr">
        <is>
          <t>PL98993191</t>
        </is>
      </c>
      <c r="E156" s="12" t="n">
        <v>46297</v>
      </c>
      <c r="F156" s="11" t="inlineStr">
        <is>
          <t>In transit</t>
        </is>
      </c>
      <c r="G156" s="12" t="n">
        <v>46304</v>
      </c>
      <c r="H156" s="5">
        <f>IF(G156="","",Rules!$B$1-G156)</f>
        <v/>
      </c>
      <c r="I156" s="5">
        <f>IF(F156="Address issue","address issue",IF(OR(F156="Delivered",F156="Returned to sender",G156=""),"",IF(AND(Rules!$B$3&lt;&gt;"",F156="Held at customs",H156&gt;=Rules!$B$3),"customs &gt;= "&amp;Rules!$B$3&amp;" days",IF(H156&gt;=Rules!$B$2,"idle &gt;= "&amp;Rules!$B$2&amp;" days",""))))</f>
        <v/>
      </c>
      <c r="J156" s="5">
        <f>IF(I156="","",IF(F156="Address issue",0,COUNTIF($I$2:$I$1001,"address issue"))+COUNTIFS($I$2:$I$1001,"?*",$F$2:$F$1001,IF(F156="Address issue","Address issue","&lt;&gt;Address issue"),$H$2:$H$1001,"&gt;"&amp;H156)+1)</f>
        <v/>
      </c>
    </row>
    <row r="157">
      <c r="A157" s="11" t="n">
        <v>100156</v>
      </c>
      <c r="B157" s="11" t="inlineStr">
        <is>
          <t>Бразилія</t>
        </is>
      </c>
      <c r="C157" s="11" t="inlineStr">
        <is>
          <t>SwiftParcel</t>
        </is>
      </c>
      <c r="D157" s="11" t="inlineStr">
        <is>
          <t>SP9436705</t>
        </is>
      </c>
      <c r="E157" s="12" t="n">
        <v>46290</v>
      </c>
      <c r="F157" s="11" t="inlineStr">
        <is>
          <t>In transit</t>
        </is>
      </c>
      <c r="G157" s="12" t="n">
        <v>46293</v>
      </c>
      <c r="H157" s="5">
        <f>IF(G157="","",Rules!$B$1-G157)</f>
        <v/>
      </c>
      <c r="I157" s="5">
        <f>IF(F157="Address issue","address issue",IF(OR(F157="Delivered",F157="Returned to sender",G157=""),"",IF(AND(Rules!$B$3&lt;&gt;"",F157="Held at customs",H157&gt;=Rules!$B$3),"customs &gt;= "&amp;Rules!$B$3&amp;" days",IF(H157&gt;=Rules!$B$2,"idle &gt;= "&amp;Rules!$B$2&amp;" days",""))))</f>
        <v/>
      </c>
      <c r="J157" s="5">
        <f>IF(I157="","",IF(F157="Address issue",0,COUNTIF($I$2:$I$1001,"address issue"))+COUNTIFS($I$2:$I$1001,"?*",$F$2:$F$1001,IF(F157="Address issue","Address issue","&lt;&gt;Address issue"),$H$2:$H$1001,"&gt;"&amp;H157)+1)</f>
        <v/>
      </c>
    </row>
    <row r="158">
      <c r="A158" s="11" t="n">
        <v>100157</v>
      </c>
      <c r="B158" s="11" t="inlineStr">
        <is>
          <t>Мексика</t>
        </is>
      </c>
      <c r="C158" s="11" t="inlineStr">
        <is>
          <t>AndesCargo</t>
        </is>
      </c>
      <c r="D158" s="11" t="inlineStr">
        <is>
          <t>AC63491960</t>
        </is>
      </c>
      <c r="E158" s="12" t="n">
        <v>46293</v>
      </c>
      <c r="F158" s="11" t="inlineStr">
        <is>
          <t>Delivered</t>
        </is>
      </c>
      <c r="G158" s="12" t="n">
        <v>46302</v>
      </c>
      <c r="H158" s="5">
        <f>IF(G158="","",Rules!$B$1-G158)</f>
        <v/>
      </c>
      <c r="I158" s="5">
        <f>IF(F158="Address issue","address issue",IF(OR(F158="Delivered",F158="Returned to sender",G158=""),"",IF(AND(Rules!$B$3&lt;&gt;"",F158="Held at customs",H158&gt;=Rules!$B$3),"customs &gt;= "&amp;Rules!$B$3&amp;" days",IF(H158&gt;=Rules!$B$2,"idle &gt;= "&amp;Rules!$B$2&amp;" days",""))))</f>
        <v/>
      </c>
      <c r="J158" s="5">
        <f>IF(I158="","",IF(F158="Address issue",0,COUNTIF($I$2:$I$1001,"address issue"))+COUNTIFS($I$2:$I$1001,"?*",$F$2:$F$1001,IF(F158="Address issue","Address issue","&lt;&gt;Address issue"),$H$2:$H$1001,"&gt;"&amp;H158)+1)</f>
        <v/>
      </c>
    </row>
    <row r="159">
      <c r="A159" s="11" t="n">
        <v>100158</v>
      </c>
      <c r="B159" s="11" t="inlineStr">
        <is>
          <t>Бразилія</t>
        </is>
      </c>
      <c r="C159" s="11" t="inlineStr">
        <is>
          <t>SwiftParcel</t>
        </is>
      </c>
      <c r="D159" s="11" t="inlineStr">
        <is>
          <t>SP4131505</t>
        </is>
      </c>
      <c r="E159" s="12" t="n">
        <v>46279</v>
      </c>
      <c r="F159" s="11" t="inlineStr">
        <is>
          <t>Delivered</t>
        </is>
      </c>
      <c r="G159" s="12" t="n">
        <v>46284</v>
      </c>
      <c r="H159" s="5">
        <f>IF(G159="","",Rules!$B$1-G159)</f>
        <v/>
      </c>
      <c r="I159" s="5">
        <f>IF(F159="Address issue","address issue",IF(OR(F159="Delivered",F159="Returned to sender",G159=""),"",IF(AND(Rules!$B$3&lt;&gt;"",F159="Held at customs",H159&gt;=Rules!$B$3),"customs &gt;= "&amp;Rules!$B$3&amp;" days",IF(H159&gt;=Rules!$B$2,"idle &gt;= "&amp;Rules!$B$2&amp;" days",""))))</f>
        <v/>
      </c>
      <c r="J159" s="5">
        <f>IF(I159="","",IF(F159="Address issue",0,COUNTIF($I$2:$I$1001,"address issue"))+COUNTIFS($I$2:$I$1001,"?*",$F$2:$F$1001,IF(F159="Address issue","Address issue","&lt;&gt;Address issue"),$H$2:$H$1001,"&gt;"&amp;H159)+1)</f>
        <v/>
      </c>
    </row>
    <row r="160">
      <c r="A160" s="11" t="n">
        <v>100159</v>
      </c>
      <c r="B160" s="11" t="inlineStr">
        <is>
          <t>Мексика</t>
        </is>
      </c>
      <c r="C160" s="11" t="inlineStr">
        <is>
          <t>AndesCargo</t>
        </is>
      </c>
      <c r="D160" s="11" t="inlineStr">
        <is>
          <t>AC38767928</t>
        </is>
      </c>
      <c r="E160" s="12" t="n">
        <v>46299</v>
      </c>
      <c r="F160" s="11" t="inlineStr">
        <is>
          <t>Delivered</t>
        </is>
      </c>
      <c r="G160" s="13" t="n">
        <v>46309</v>
      </c>
      <c r="H160" s="5">
        <f>IF(G160="","",Rules!$B$1-G160)</f>
        <v/>
      </c>
      <c r="I160" s="5">
        <f>IF(F160="Address issue","address issue",IF(OR(F160="Delivered",F160="Returned to sender",G160=""),"",IF(AND(Rules!$B$3&lt;&gt;"",F160="Held at customs",H160&gt;=Rules!$B$3),"customs &gt;= "&amp;Rules!$B$3&amp;" days",IF(H160&gt;=Rules!$B$2,"idle &gt;= "&amp;Rules!$B$2&amp;" days",""))))</f>
        <v/>
      </c>
      <c r="J160" s="5">
        <f>IF(I160="","",IF(F160="Address issue",0,COUNTIF($I$2:$I$1001,"address issue"))+COUNTIFS($I$2:$I$1001,"?*",$F$2:$F$1001,IF(F160="Address issue","Address issue","&lt;&gt;Address issue"),$H$2:$H$1001,"&gt;"&amp;H160)+1)</f>
        <v/>
      </c>
    </row>
    <row r="161">
      <c r="A161" s="11" t="n">
        <v>100160</v>
      </c>
      <c r="B161" s="11" t="inlineStr">
        <is>
          <t>Мексика</t>
        </is>
      </c>
      <c r="C161" s="11" t="inlineStr">
        <is>
          <t>AndesCargo</t>
        </is>
      </c>
      <c r="D161" s="11" t="inlineStr">
        <is>
          <t>AC22620165</t>
        </is>
      </c>
      <c r="E161" s="12" t="n">
        <v>46304</v>
      </c>
      <c r="F161" s="11" t="inlineStr">
        <is>
          <t>In transit</t>
        </is>
      </c>
      <c r="G161" s="13" t="n">
        <v>46308</v>
      </c>
      <c r="H161" s="5">
        <f>IF(G161="","",Rules!$B$1-G161)</f>
        <v/>
      </c>
      <c r="I161" s="5">
        <f>IF(F161="Address issue","address issue",IF(OR(F161="Delivered",F161="Returned to sender",G161=""),"",IF(AND(Rules!$B$3&lt;&gt;"",F161="Held at customs",H161&gt;=Rules!$B$3),"customs &gt;= "&amp;Rules!$B$3&amp;" days",IF(H161&gt;=Rules!$B$2,"idle &gt;= "&amp;Rules!$B$2&amp;" days",""))))</f>
        <v/>
      </c>
      <c r="J161" s="5">
        <f>IF(I161="","",IF(F161="Address issue",0,COUNTIF($I$2:$I$1001,"address issue"))+COUNTIFS($I$2:$I$1001,"?*",$F$2:$F$1001,IF(F161="Address issue","Address issue","&lt;&gt;Address issue"),$H$2:$H$1001,"&gt;"&amp;H161)+1)</f>
        <v/>
      </c>
    </row>
    <row r="162">
      <c r="A162" s="11" t="n">
        <v>100161</v>
      </c>
      <c r="B162" s="11" t="inlineStr">
        <is>
          <t>Канада</t>
        </is>
      </c>
      <c r="C162" s="11" t="inlineStr">
        <is>
          <t>PostLink</t>
        </is>
      </c>
      <c r="D162" s="11" t="inlineStr">
        <is>
          <t>PL35339110</t>
        </is>
      </c>
      <c r="E162" s="12" t="n">
        <v>46296</v>
      </c>
      <c r="F162" s="11" t="inlineStr">
        <is>
          <t>In transit</t>
        </is>
      </c>
      <c r="G162" s="12" t="n">
        <v>46304</v>
      </c>
      <c r="H162" s="5">
        <f>IF(G162="","",Rules!$B$1-G162)</f>
        <v/>
      </c>
      <c r="I162" s="5">
        <f>IF(F162="Address issue","address issue",IF(OR(F162="Delivered",F162="Returned to sender",G162=""),"",IF(AND(Rules!$B$3&lt;&gt;"",F162="Held at customs",H162&gt;=Rules!$B$3),"customs &gt;= "&amp;Rules!$B$3&amp;" days",IF(H162&gt;=Rules!$B$2,"idle &gt;= "&amp;Rules!$B$2&amp;" days",""))))</f>
        <v/>
      </c>
      <c r="J162" s="5">
        <f>IF(I162="","",IF(F162="Address issue",0,COUNTIF($I$2:$I$1001,"address issue"))+COUNTIFS($I$2:$I$1001,"?*",$F$2:$F$1001,IF(F162="Address issue","Address issue","&lt;&gt;Address issue"),$H$2:$H$1001,"&gt;"&amp;H162)+1)</f>
        <v/>
      </c>
    </row>
    <row r="163">
      <c r="A163" s="11" t="n">
        <v>100162</v>
      </c>
      <c r="B163" s="11" t="inlineStr">
        <is>
          <t>Мексика</t>
        </is>
      </c>
      <c r="C163" s="11" t="inlineStr">
        <is>
          <t>SwiftParcel</t>
        </is>
      </c>
      <c r="D163" s="11" t="inlineStr">
        <is>
          <t>SP9754835</t>
        </is>
      </c>
      <c r="E163" s="12" t="n">
        <v>46288</v>
      </c>
      <c r="F163" s="11" t="inlineStr">
        <is>
          <t>In transit</t>
        </is>
      </c>
      <c r="G163" s="12" t="n">
        <v>46295</v>
      </c>
      <c r="H163" s="5">
        <f>IF(G163="","",Rules!$B$1-G163)</f>
        <v/>
      </c>
      <c r="I163" s="5">
        <f>IF(F163="Address issue","address issue",IF(OR(F163="Delivered",F163="Returned to sender",G163=""),"",IF(AND(Rules!$B$3&lt;&gt;"",F163="Held at customs",H163&gt;=Rules!$B$3),"customs &gt;= "&amp;Rules!$B$3&amp;" days",IF(H163&gt;=Rules!$B$2,"idle &gt;= "&amp;Rules!$B$2&amp;" days",""))))</f>
        <v/>
      </c>
      <c r="J163" s="5">
        <f>IF(I163="","",IF(F163="Address issue",0,COUNTIF($I$2:$I$1001,"address issue"))+COUNTIFS($I$2:$I$1001,"?*",$F$2:$F$1001,IF(F163="Address issue","Address issue","&lt;&gt;Address issue"),$H$2:$H$1001,"&gt;"&amp;H163)+1)</f>
        <v/>
      </c>
    </row>
    <row r="164">
      <c r="A164" s="11" t="n">
        <v>100163</v>
      </c>
      <c r="B164" s="11" t="inlineStr">
        <is>
          <t>Канада</t>
        </is>
      </c>
      <c r="C164" s="11" t="inlineStr">
        <is>
          <t>PostLink</t>
        </is>
      </c>
      <c r="D164" s="11" t="inlineStr">
        <is>
          <t>PL18657245</t>
        </is>
      </c>
      <c r="E164" s="12" t="n">
        <v>46277</v>
      </c>
      <c r="F164" s="11" t="inlineStr">
        <is>
          <t>Delivered</t>
        </is>
      </c>
      <c r="G164" s="12" t="n">
        <v>46289</v>
      </c>
      <c r="H164" s="5">
        <f>IF(G164="","",Rules!$B$1-G164)</f>
        <v/>
      </c>
      <c r="I164" s="5">
        <f>IF(F164="Address issue","address issue",IF(OR(F164="Delivered",F164="Returned to sender",G164=""),"",IF(AND(Rules!$B$3&lt;&gt;"",F164="Held at customs",H164&gt;=Rules!$B$3),"customs &gt;= "&amp;Rules!$B$3&amp;" days",IF(H164&gt;=Rules!$B$2,"idle &gt;= "&amp;Rules!$B$2&amp;" days",""))))</f>
        <v/>
      </c>
      <c r="J164" s="5">
        <f>IF(I164="","",IF(F164="Address issue",0,COUNTIF($I$2:$I$1001,"address issue"))+COUNTIFS($I$2:$I$1001,"?*",$F$2:$F$1001,IF(F164="Address issue","Address issue","&lt;&gt;Address issue"),$H$2:$H$1001,"&gt;"&amp;H164)+1)</f>
        <v/>
      </c>
    </row>
    <row r="165">
      <c r="A165" s="11" t="n">
        <v>100164</v>
      </c>
      <c r="B165" s="11" t="inlineStr">
        <is>
          <t>Мексика</t>
        </is>
      </c>
      <c r="C165" s="11" t="inlineStr">
        <is>
          <t>AndesCargo</t>
        </is>
      </c>
      <c r="D165" s="11" t="inlineStr">
        <is>
          <t>AC33726992</t>
        </is>
      </c>
      <c r="E165" s="12" t="n">
        <v>46297</v>
      </c>
      <c r="F165" s="11" t="inlineStr">
        <is>
          <t>Delivered</t>
        </is>
      </c>
      <c r="G165" s="13" t="n">
        <v>46309</v>
      </c>
      <c r="H165" s="5">
        <f>IF(G165="","",Rules!$B$1-G165)</f>
        <v/>
      </c>
      <c r="I165" s="5">
        <f>IF(F165="Address issue","address issue",IF(OR(F165="Delivered",F165="Returned to sender",G165=""),"",IF(AND(Rules!$B$3&lt;&gt;"",F165="Held at customs",H165&gt;=Rules!$B$3),"customs &gt;= "&amp;Rules!$B$3&amp;" days",IF(H165&gt;=Rules!$B$2,"idle &gt;= "&amp;Rules!$B$2&amp;" days",""))))</f>
        <v/>
      </c>
      <c r="J165" s="5">
        <f>IF(I165="","",IF(F165="Address issue",0,COUNTIF($I$2:$I$1001,"address issue"))+COUNTIFS($I$2:$I$1001,"?*",$F$2:$F$1001,IF(F165="Address issue","Address issue","&lt;&gt;Address issue"),$H$2:$H$1001,"&gt;"&amp;H165)+1)</f>
        <v/>
      </c>
    </row>
    <row r="166">
      <c r="A166" s="11" t="n">
        <v>100165</v>
      </c>
      <c r="B166" s="11" t="inlineStr">
        <is>
          <t>Бразилія</t>
        </is>
      </c>
      <c r="C166" s="11" t="inlineStr">
        <is>
          <t>AndesCargo</t>
        </is>
      </c>
      <c r="D166" s="11" t="inlineStr">
        <is>
          <t>AC15778801</t>
        </is>
      </c>
      <c r="E166" s="12" t="n">
        <v>46297</v>
      </c>
      <c r="F166" s="11" t="inlineStr">
        <is>
          <t>Held at customs</t>
        </is>
      </c>
      <c r="G166" s="13" t="n">
        <v>46305</v>
      </c>
      <c r="H166" s="5">
        <f>IF(G166="","",Rules!$B$1-G166)</f>
        <v/>
      </c>
      <c r="I166" s="5">
        <f>IF(F166="Address issue","address issue",IF(OR(F166="Delivered",F166="Returned to sender",G166=""),"",IF(AND(Rules!$B$3&lt;&gt;"",F166="Held at customs",H166&gt;=Rules!$B$3),"customs &gt;= "&amp;Rules!$B$3&amp;" days",IF(H166&gt;=Rules!$B$2,"idle &gt;= "&amp;Rules!$B$2&amp;" days",""))))</f>
        <v/>
      </c>
      <c r="J166" s="5">
        <f>IF(I166="","",IF(F166="Address issue",0,COUNTIF($I$2:$I$1001,"address issue"))+COUNTIFS($I$2:$I$1001,"?*",$F$2:$F$1001,IF(F166="Address issue","Address issue","&lt;&gt;Address issue"),$H$2:$H$1001,"&gt;"&amp;H166)+1)</f>
        <v/>
      </c>
    </row>
    <row r="167">
      <c r="A167" s="11" t="n">
        <v>100166</v>
      </c>
      <c r="B167" s="11" t="inlineStr">
        <is>
          <t>Бразилія</t>
        </is>
      </c>
      <c r="C167" s="11" t="inlineStr">
        <is>
          <t>SwiftParcel</t>
        </is>
      </c>
      <c r="D167" s="11" t="inlineStr">
        <is>
          <t>SP7648804</t>
        </is>
      </c>
      <c r="E167" s="12" t="n">
        <v>46271</v>
      </c>
      <c r="F167" s="11" t="inlineStr">
        <is>
          <t>Delivered</t>
        </is>
      </c>
      <c r="G167" s="12" t="n">
        <v>46283</v>
      </c>
      <c r="H167" s="5">
        <f>IF(G167="","",Rules!$B$1-G167)</f>
        <v/>
      </c>
      <c r="I167" s="5">
        <f>IF(F167="Address issue","address issue",IF(OR(F167="Delivered",F167="Returned to sender",G167=""),"",IF(AND(Rules!$B$3&lt;&gt;"",F167="Held at customs",H167&gt;=Rules!$B$3),"customs &gt;= "&amp;Rules!$B$3&amp;" days",IF(H167&gt;=Rules!$B$2,"idle &gt;= "&amp;Rules!$B$2&amp;" days",""))))</f>
        <v/>
      </c>
      <c r="J167" s="5">
        <f>IF(I167="","",IF(F167="Address issue",0,COUNTIF($I$2:$I$1001,"address issue"))+COUNTIFS($I$2:$I$1001,"?*",$F$2:$F$1001,IF(F167="Address issue","Address issue","&lt;&gt;Address issue"),$H$2:$H$1001,"&gt;"&amp;H167)+1)</f>
        <v/>
      </c>
    </row>
    <row r="168">
      <c r="A168" s="11" t="n">
        <v>100167</v>
      </c>
      <c r="B168" s="11" t="inlineStr">
        <is>
          <t>Канада</t>
        </is>
      </c>
      <c r="C168" s="11" t="inlineStr">
        <is>
          <t>PostLink</t>
        </is>
      </c>
      <c r="D168" s="11" t="inlineStr">
        <is>
          <t>PL96719007</t>
        </is>
      </c>
      <c r="E168" s="12" t="n">
        <v>46282</v>
      </c>
      <c r="F168" s="11" t="inlineStr">
        <is>
          <t>Delivered</t>
        </is>
      </c>
      <c r="G168" s="12" t="n">
        <v>46294</v>
      </c>
      <c r="H168" s="5">
        <f>IF(G168="","",Rules!$B$1-G168)</f>
        <v/>
      </c>
      <c r="I168" s="5">
        <f>IF(F168="Address issue","address issue",IF(OR(F168="Delivered",F168="Returned to sender",G168=""),"",IF(AND(Rules!$B$3&lt;&gt;"",F168="Held at customs",H168&gt;=Rules!$B$3),"customs &gt;= "&amp;Rules!$B$3&amp;" days",IF(H168&gt;=Rules!$B$2,"idle &gt;= "&amp;Rules!$B$2&amp;" days",""))))</f>
        <v/>
      </c>
      <c r="J168" s="5">
        <f>IF(I168="","",IF(F168="Address issue",0,COUNTIF($I$2:$I$1001,"address issue"))+COUNTIFS($I$2:$I$1001,"?*",$F$2:$F$1001,IF(F168="Address issue","Address issue","&lt;&gt;Address issue"),$H$2:$H$1001,"&gt;"&amp;H168)+1)</f>
        <v/>
      </c>
    </row>
    <row r="169">
      <c r="A169" s="11" t="n">
        <v>100168</v>
      </c>
      <c r="B169" s="11" t="inlineStr">
        <is>
          <t>Бразилія</t>
        </is>
      </c>
      <c r="C169" s="11" t="inlineStr">
        <is>
          <t>SwiftParcel</t>
        </is>
      </c>
      <c r="D169" s="11" t="inlineStr">
        <is>
          <t>SP1823495</t>
        </is>
      </c>
      <c r="E169" s="12" t="n">
        <v>46289</v>
      </c>
      <c r="F169" s="11" t="inlineStr">
        <is>
          <t>Delivered</t>
        </is>
      </c>
      <c r="G169" s="12" t="n">
        <v>46299</v>
      </c>
      <c r="H169" s="5">
        <f>IF(G169="","",Rules!$B$1-G169)</f>
        <v/>
      </c>
      <c r="I169" s="5">
        <f>IF(F169="Address issue","address issue",IF(OR(F169="Delivered",F169="Returned to sender",G169=""),"",IF(AND(Rules!$B$3&lt;&gt;"",F169="Held at customs",H169&gt;=Rules!$B$3),"customs &gt;= "&amp;Rules!$B$3&amp;" days",IF(H169&gt;=Rules!$B$2,"idle &gt;= "&amp;Rules!$B$2&amp;" days",""))))</f>
        <v/>
      </c>
      <c r="J169" s="5">
        <f>IF(I169="","",IF(F169="Address issue",0,COUNTIF($I$2:$I$1001,"address issue"))+COUNTIFS($I$2:$I$1001,"?*",$F$2:$F$1001,IF(F169="Address issue","Address issue","&lt;&gt;Address issue"),$H$2:$H$1001,"&gt;"&amp;H169)+1)</f>
        <v/>
      </c>
    </row>
    <row r="170">
      <c r="A170" s="11" t="n">
        <v>100169</v>
      </c>
      <c r="B170" s="11" t="inlineStr">
        <is>
          <t>Мексика</t>
        </is>
      </c>
      <c r="C170" s="11" t="inlineStr">
        <is>
          <t>AndesCargo</t>
        </is>
      </c>
      <c r="D170" s="11" t="inlineStr">
        <is>
          <t>AC67286916</t>
        </is>
      </c>
      <c r="E170" s="12" t="n">
        <v>46301</v>
      </c>
      <c r="F170" s="11" t="inlineStr">
        <is>
          <t>Held at customs</t>
        </is>
      </c>
      <c r="G170" s="12" t="n">
        <v>46302</v>
      </c>
      <c r="H170" s="5">
        <f>IF(G170="","",Rules!$B$1-G170)</f>
        <v/>
      </c>
      <c r="I170" s="5">
        <f>IF(F170="Address issue","address issue",IF(OR(F170="Delivered",F170="Returned to sender",G170=""),"",IF(AND(Rules!$B$3&lt;&gt;"",F170="Held at customs",H170&gt;=Rules!$B$3),"customs &gt;= "&amp;Rules!$B$3&amp;" days",IF(H170&gt;=Rules!$B$2,"idle &gt;= "&amp;Rules!$B$2&amp;" days",""))))</f>
        <v/>
      </c>
      <c r="J170" s="5">
        <f>IF(I170="","",IF(F170="Address issue",0,COUNTIF($I$2:$I$1001,"address issue"))+COUNTIFS($I$2:$I$1001,"?*",$F$2:$F$1001,IF(F170="Address issue","Address issue","&lt;&gt;Address issue"),$H$2:$H$1001,"&gt;"&amp;H170)+1)</f>
        <v/>
      </c>
    </row>
    <row r="171">
      <c r="A171" s="11" t="n">
        <v>100170</v>
      </c>
      <c r="B171" s="11" t="inlineStr">
        <is>
          <t>Мексика</t>
        </is>
      </c>
      <c r="C171" s="11" t="inlineStr">
        <is>
          <t>AndesCargo</t>
        </is>
      </c>
      <c r="D171" s="11" t="inlineStr">
        <is>
          <t>AC18840497</t>
        </is>
      </c>
      <c r="E171" s="12" t="n">
        <v>46301</v>
      </c>
      <c r="F171" s="11" t="inlineStr">
        <is>
          <t>In transit</t>
        </is>
      </c>
      <c r="G171" s="13" t="n">
        <v>46306</v>
      </c>
      <c r="H171" s="5">
        <f>IF(G171="","",Rules!$B$1-G171)</f>
        <v/>
      </c>
      <c r="I171" s="5">
        <f>IF(F171="Address issue","address issue",IF(OR(F171="Delivered",F171="Returned to sender",G171=""),"",IF(AND(Rules!$B$3&lt;&gt;"",F171="Held at customs",H171&gt;=Rules!$B$3),"customs &gt;= "&amp;Rules!$B$3&amp;" days",IF(H171&gt;=Rules!$B$2,"idle &gt;= "&amp;Rules!$B$2&amp;" days",""))))</f>
        <v/>
      </c>
      <c r="J171" s="5">
        <f>IF(I171="","",IF(F171="Address issue",0,COUNTIF($I$2:$I$1001,"address issue"))+COUNTIFS($I$2:$I$1001,"?*",$F$2:$F$1001,IF(F171="Address issue","Address issue","&lt;&gt;Address issue"),$H$2:$H$1001,"&gt;"&amp;H171)+1)</f>
        <v/>
      </c>
    </row>
    <row r="172">
      <c r="A172" s="11" t="n">
        <v>100171</v>
      </c>
      <c r="B172" s="11" t="inlineStr">
        <is>
          <t>Канада</t>
        </is>
      </c>
      <c r="C172" s="11" t="inlineStr">
        <is>
          <t>PostLink</t>
        </is>
      </c>
      <c r="D172" s="11" t="inlineStr">
        <is>
          <t>PL79771050</t>
        </is>
      </c>
      <c r="E172" s="12" t="n">
        <v>46300</v>
      </c>
      <c r="F172" s="11" t="inlineStr">
        <is>
          <t>In transit</t>
        </is>
      </c>
      <c r="G172" s="13" t="n">
        <v>46307</v>
      </c>
      <c r="H172" s="5">
        <f>IF(G172="","",Rules!$B$1-G172)</f>
        <v/>
      </c>
      <c r="I172" s="5">
        <f>IF(F172="Address issue","address issue",IF(OR(F172="Delivered",F172="Returned to sender",G172=""),"",IF(AND(Rules!$B$3&lt;&gt;"",F172="Held at customs",H172&gt;=Rules!$B$3),"customs &gt;= "&amp;Rules!$B$3&amp;" days",IF(H172&gt;=Rules!$B$2,"idle &gt;= "&amp;Rules!$B$2&amp;" days",""))))</f>
        <v/>
      </c>
      <c r="J172" s="5">
        <f>IF(I172="","",IF(F172="Address issue",0,COUNTIF($I$2:$I$1001,"address issue"))+COUNTIFS($I$2:$I$1001,"?*",$F$2:$F$1001,IF(F172="Address issue","Address issue","&lt;&gt;Address issue"),$H$2:$H$1001,"&gt;"&amp;H172)+1)</f>
        <v/>
      </c>
    </row>
    <row r="173">
      <c r="A173" s="11" t="n">
        <v>100172</v>
      </c>
      <c r="B173" s="11" t="inlineStr">
        <is>
          <t>Мексика</t>
        </is>
      </c>
      <c r="C173" s="11" t="inlineStr">
        <is>
          <t>AndesCargo</t>
        </is>
      </c>
      <c r="D173" s="11" t="inlineStr">
        <is>
          <t>AC23545594</t>
        </is>
      </c>
      <c r="E173" s="12" t="n">
        <v>46293</v>
      </c>
      <c r="F173" s="11" t="inlineStr">
        <is>
          <t>In transit</t>
        </is>
      </c>
      <c r="G173" s="12" t="n">
        <v>46294</v>
      </c>
      <c r="H173" s="5">
        <f>IF(G173="","",Rules!$B$1-G173)</f>
        <v/>
      </c>
      <c r="I173" s="5">
        <f>IF(F173="Address issue","address issue",IF(OR(F173="Delivered",F173="Returned to sender",G173=""),"",IF(AND(Rules!$B$3&lt;&gt;"",F173="Held at customs",H173&gt;=Rules!$B$3),"customs &gt;= "&amp;Rules!$B$3&amp;" days",IF(H173&gt;=Rules!$B$2,"idle &gt;= "&amp;Rules!$B$2&amp;" days",""))))</f>
        <v/>
      </c>
      <c r="J173" s="5">
        <f>IF(I173="","",IF(F173="Address issue",0,COUNTIF($I$2:$I$1001,"address issue"))+COUNTIFS($I$2:$I$1001,"?*",$F$2:$F$1001,IF(F173="Address issue","Address issue","&lt;&gt;Address issue"),$H$2:$H$1001,"&gt;"&amp;H173)+1)</f>
        <v/>
      </c>
    </row>
    <row r="174">
      <c r="A174" s="11" t="n">
        <v>100173</v>
      </c>
      <c r="B174" s="11" t="inlineStr">
        <is>
          <t>Мексика</t>
        </is>
      </c>
      <c r="C174" s="11" t="inlineStr">
        <is>
          <t>SwiftParcel</t>
        </is>
      </c>
      <c r="D174" s="11" t="inlineStr">
        <is>
          <t>SP1578168</t>
        </is>
      </c>
      <c r="E174" s="12" t="n">
        <v>46288</v>
      </c>
      <c r="F174" s="11" t="inlineStr">
        <is>
          <t>Delivered</t>
        </is>
      </c>
      <c r="G174" s="12" t="n">
        <v>46299</v>
      </c>
      <c r="H174" s="5">
        <f>IF(G174="","",Rules!$B$1-G174)</f>
        <v/>
      </c>
      <c r="I174" s="5">
        <f>IF(F174="Address issue","address issue",IF(OR(F174="Delivered",F174="Returned to sender",G174=""),"",IF(AND(Rules!$B$3&lt;&gt;"",F174="Held at customs",H174&gt;=Rules!$B$3),"customs &gt;= "&amp;Rules!$B$3&amp;" days",IF(H174&gt;=Rules!$B$2,"idle &gt;= "&amp;Rules!$B$2&amp;" days",""))))</f>
        <v/>
      </c>
      <c r="J174" s="5">
        <f>IF(I174="","",IF(F174="Address issue",0,COUNTIF($I$2:$I$1001,"address issue"))+COUNTIFS($I$2:$I$1001,"?*",$F$2:$F$1001,IF(F174="Address issue","Address issue","&lt;&gt;Address issue"),$H$2:$H$1001,"&gt;"&amp;H174)+1)</f>
        <v/>
      </c>
    </row>
    <row r="175">
      <c r="A175" s="11" t="n">
        <v>100174</v>
      </c>
      <c r="B175" s="11" t="inlineStr">
        <is>
          <t>Бразилія</t>
        </is>
      </c>
      <c r="C175" s="11" t="inlineStr">
        <is>
          <t>SwiftParcel</t>
        </is>
      </c>
      <c r="D175" s="11" t="inlineStr">
        <is>
          <t>SP8486151</t>
        </is>
      </c>
      <c r="E175" s="12" t="n">
        <v>46303</v>
      </c>
      <c r="F175" s="11" t="inlineStr">
        <is>
          <t>In transit</t>
        </is>
      </c>
      <c r="G175" s="13" t="n">
        <v>46305</v>
      </c>
      <c r="H175" s="5">
        <f>IF(G175="","",Rules!$B$1-G175)</f>
        <v/>
      </c>
      <c r="I175" s="5">
        <f>IF(F175="Address issue","address issue",IF(OR(F175="Delivered",F175="Returned to sender",G175=""),"",IF(AND(Rules!$B$3&lt;&gt;"",F175="Held at customs",H175&gt;=Rules!$B$3),"customs &gt;= "&amp;Rules!$B$3&amp;" days",IF(H175&gt;=Rules!$B$2,"idle &gt;= "&amp;Rules!$B$2&amp;" days",""))))</f>
        <v/>
      </c>
      <c r="J175" s="5">
        <f>IF(I175="","",IF(F175="Address issue",0,COUNTIF($I$2:$I$1001,"address issue"))+COUNTIFS($I$2:$I$1001,"?*",$F$2:$F$1001,IF(F175="Address issue","Address issue","&lt;&gt;Address issue"),$H$2:$H$1001,"&gt;"&amp;H175)+1)</f>
        <v/>
      </c>
    </row>
    <row r="176">
      <c r="A176" s="11" t="n">
        <v>100175</v>
      </c>
      <c r="B176" s="11" t="inlineStr">
        <is>
          <t>Бразилія</t>
        </is>
      </c>
      <c r="C176" s="11" t="inlineStr">
        <is>
          <t>SwiftParcel</t>
        </is>
      </c>
      <c r="D176" s="11" t="inlineStr">
        <is>
          <t>SP3696274</t>
        </is>
      </c>
      <c r="E176" s="12" t="n">
        <v>46301</v>
      </c>
      <c r="F176" s="11" t="inlineStr">
        <is>
          <t>Address issue</t>
        </is>
      </c>
      <c r="G176" s="12" t="n">
        <v>46302</v>
      </c>
      <c r="H176" s="5">
        <f>IF(G176="","",Rules!$B$1-G176)</f>
        <v/>
      </c>
      <c r="I176" s="5">
        <f>IF(F176="Address issue","address issue",IF(OR(F176="Delivered",F176="Returned to sender",G176=""),"",IF(AND(Rules!$B$3&lt;&gt;"",F176="Held at customs",H176&gt;=Rules!$B$3),"customs &gt;= "&amp;Rules!$B$3&amp;" days",IF(H176&gt;=Rules!$B$2,"idle &gt;= "&amp;Rules!$B$2&amp;" days",""))))</f>
        <v/>
      </c>
      <c r="J176" s="5">
        <f>IF(I176="","",IF(F176="Address issue",0,COUNTIF($I$2:$I$1001,"address issue"))+COUNTIFS($I$2:$I$1001,"?*",$F$2:$F$1001,IF(F176="Address issue","Address issue","&lt;&gt;Address issue"),$H$2:$H$1001,"&gt;"&amp;H176)+1)</f>
        <v/>
      </c>
    </row>
    <row r="177">
      <c r="A177" s="11" t="n">
        <v>100176</v>
      </c>
      <c r="B177" s="11" t="inlineStr">
        <is>
          <t>Бразилія</t>
        </is>
      </c>
      <c r="C177" s="11" t="inlineStr">
        <is>
          <t>AndesCargo</t>
        </is>
      </c>
      <c r="D177" s="11" t="inlineStr">
        <is>
          <t>AC29893244</t>
        </is>
      </c>
      <c r="E177" s="12" t="n">
        <v>46294</v>
      </c>
      <c r="F177" s="11" t="inlineStr">
        <is>
          <t>Delivered</t>
        </is>
      </c>
      <c r="G177" s="13" t="n">
        <v>46306</v>
      </c>
      <c r="H177" s="5">
        <f>IF(G177="","",Rules!$B$1-G177)</f>
        <v/>
      </c>
      <c r="I177" s="5">
        <f>IF(F177="Address issue","address issue",IF(OR(F177="Delivered",F177="Returned to sender",G177=""),"",IF(AND(Rules!$B$3&lt;&gt;"",F177="Held at customs",H177&gt;=Rules!$B$3),"customs &gt;= "&amp;Rules!$B$3&amp;" days",IF(H177&gt;=Rules!$B$2,"idle &gt;= "&amp;Rules!$B$2&amp;" days",""))))</f>
        <v/>
      </c>
      <c r="J177" s="5">
        <f>IF(I177="","",IF(F177="Address issue",0,COUNTIF($I$2:$I$1001,"address issue"))+COUNTIFS($I$2:$I$1001,"?*",$F$2:$F$1001,IF(F177="Address issue","Address issue","&lt;&gt;Address issue"),$H$2:$H$1001,"&gt;"&amp;H177)+1)</f>
        <v/>
      </c>
    </row>
    <row r="178">
      <c r="A178" s="11" t="n">
        <v>100177</v>
      </c>
      <c r="B178" s="11" t="inlineStr">
        <is>
          <t>Мексика</t>
        </is>
      </c>
      <c r="C178" s="11" t="inlineStr">
        <is>
          <t>AndesCargo</t>
        </is>
      </c>
      <c r="D178" s="11" t="inlineStr">
        <is>
          <t>AC66486737</t>
        </is>
      </c>
      <c r="E178" s="12" t="n">
        <v>46272</v>
      </c>
      <c r="F178" s="11" t="inlineStr">
        <is>
          <t>Delivered</t>
        </is>
      </c>
      <c r="G178" s="12" t="n">
        <v>46283</v>
      </c>
      <c r="H178" s="5">
        <f>IF(G178="","",Rules!$B$1-G178)</f>
        <v/>
      </c>
      <c r="I178" s="5">
        <f>IF(F178="Address issue","address issue",IF(OR(F178="Delivered",F178="Returned to sender",G178=""),"",IF(AND(Rules!$B$3&lt;&gt;"",F178="Held at customs",H178&gt;=Rules!$B$3),"customs &gt;= "&amp;Rules!$B$3&amp;" days",IF(H178&gt;=Rules!$B$2,"idle &gt;= "&amp;Rules!$B$2&amp;" days",""))))</f>
        <v/>
      </c>
      <c r="J178" s="5">
        <f>IF(I178="","",IF(F178="Address issue",0,COUNTIF($I$2:$I$1001,"address issue"))+COUNTIFS($I$2:$I$1001,"?*",$F$2:$F$1001,IF(F178="Address issue","Address issue","&lt;&gt;Address issue"),$H$2:$H$1001,"&gt;"&amp;H178)+1)</f>
        <v/>
      </c>
    </row>
    <row r="179">
      <c r="A179" s="11" t="n">
        <v>100178</v>
      </c>
      <c r="B179" s="11" t="inlineStr">
        <is>
          <t>Мексика</t>
        </is>
      </c>
      <c r="C179" s="11" t="inlineStr">
        <is>
          <t>AndesCargo</t>
        </is>
      </c>
      <c r="D179" s="11" t="inlineStr">
        <is>
          <t>AC15046841</t>
        </is>
      </c>
      <c r="E179" s="12" t="n">
        <v>46300</v>
      </c>
      <c r="F179" s="11" t="inlineStr">
        <is>
          <t>Returned to sender</t>
        </is>
      </c>
      <c r="G179" s="13" t="n">
        <v>46306</v>
      </c>
      <c r="H179" s="5">
        <f>IF(G179="","",Rules!$B$1-G179)</f>
        <v/>
      </c>
      <c r="I179" s="5">
        <f>IF(F179="Address issue","address issue",IF(OR(F179="Delivered",F179="Returned to sender",G179=""),"",IF(AND(Rules!$B$3&lt;&gt;"",F179="Held at customs",H179&gt;=Rules!$B$3),"customs &gt;= "&amp;Rules!$B$3&amp;" days",IF(H179&gt;=Rules!$B$2,"idle &gt;= "&amp;Rules!$B$2&amp;" days",""))))</f>
        <v/>
      </c>
      <c r="J179" s="5">
        <f>IF(I179="","",IF(F179="Address issue",0,COUNTIF($I$2:$I$1001,"address issue"))+COUNTIFS($I$2:$I$1001,"?*",$F$2:$F$1001,IF(F179="Address issue","Address issue","&lt;&gt;Address issue"),$H$2:$H$1001,"&gt;"&amp;H179)+1)</f>
        <v/>
      </c>
    </row>
    <row r="180">
      <c r="A180" s="11" t="n">
        <v>100179</v>
      </c>
      <c r="B180" s="11" t="inlineStr">
        <is>
          <t>Мексика</t>
        </is>
      </c>
      <c r="C180" s="11" t="inlineStr">
        <is>
          <t>AndesCargo</t>
        </is>
      </c>
      <c r="D180" s="11" t="inlineStr">
        <is>
          <t>AC63290995</t>
        </is>
      </c>
      <c r="E180" s="12" t="n">
        <v>46299</v>
      </c>
      <c r="F180" s="11" t="inlineStr">
        <is>
          <t>In transit</t>
        </is>
      </c>
      <c r="G180" s="12" t="n">
        <v>46304</v>
      </c>
      <c r="H180" s="5">
        <f>IF(G180="","",Rules!$B$1-G180)</f>
        <v/>
      </c>
      <c r="I180" s="5">
        <f>IF(F180="Address issue","address issue",IF(OR(F180="Delivered",F180="Returned to sender",G180=""),"",IF(AND(Rules!$B$3&lt;&gt;"",F180="Held at customs",H180&gt;=Rules!$B$3),"customs &gt;= "&amp;Rules!$B$3&amp;" days",IF(H180&gt;=Rules!$B$2,"idle &gt;= "&amp;Rules!$B$2&amp;" days",""))))</f>
        <v/>
      </c>
      <c r="J180" s="5">
        <f>IF(I180="","",IF(F180="Address issue",0,COUNTIF($I$2:$I$1001,"address issue"))+COUNTIFS($I$2:$I$1001,"?*",$F$2:$F$1001,IF(F180="Address issue","Address issue","&lt;&gt;Address issue"),$H$2:$H$1001,"&gt;"&amp;H180)+1)</f>
        <v/>
      </c>
    </row>
    <row r="181">
      <c r="A181" s="11" t="n">
        <v>100180</v>
      </c>
      <c r="B181" s="11" t="inlineStr">
        <is>
          <t>Канада</t>
        </is>
      </c>
      <c r="C181" s="11" t="inlineStr">
        <is>
          <t>PostLink</t>
        </is>
      </c>
      <c r="D181" s="11" t="inlineStr">
        <is>
          <t>PL20054813</t>
        </is>
      </c>
      <c r="E181" s="12" t="n">
        <v>46287</v>
      </c>
      <c r="F181" s="11" t="inlineStr">
        <is>
          <t>Delivered</t>
        </is>
      </c>
      <c r="G181" s="12" t="n">
        <v>46291</v>
      </c>
      <c r="H181" s="5">
        <f>IF(G181="","",Rules!$B$1-G181)</f>
        <v/>
      </c>
      <c r="I181" s="5">
        <f>IF(F181="Address issue","address issue",IF(OR(F181="Delivered",F181="Returned to sender",G181=""),"",IF(AND(Rules!$B$3&lt;&gt;"",F181="Held at customs",H181&gt;=Rules!$B$3),"customs &gt;= "&amp;Rules!$B$3&amp;" days",IF(H181&gt;=Rules!$B$2,"idle &gt;= "&amp;Rules!$B$2&amp;" days",""))))</f>
        <v/>
      </c>
      <c r="J181" s="5">
        <f>IF(I181="","",IF(F181="Address issue",0,COUNTIF($I$2:$I$1001,"address issue"))+COUNTIFS($I$2:$I$1001,"?*",$F$2:$F$1001,IF(F181="Address issue","Address issue","&lt;&gt;Address issue"),$H$2:$H$1001,"&gt;"&amp;H181)+1)</f>
        <v/>
      </c>
    </row>
    <row r="182">
      <c r="A182" s="11" t="n">
        <v>100181</v>
      </c>
      <c r="B182" s="11" t="inlineStr">
        <is>
          <t>Мексика</t>
        </is>
      </c>
      <c r="C182" s="11" t="inlineStr">
        <is>
          <t>SwiftParcel</t>
        </is>
      </c>
      <c r="D182" s="11" t="inlineStr">
        <is>
          <t>SP2397425</t>
        </is>
      </c>
      <c r="E182" s="12" t="n">
        <v>46299</v>
      </c>
      <c r="F182" s="11" t="inlineStr">
        <is>
          <t>Address issue</t>
        </is>
      </c>
      <c r="G182" s="13" t="n">
        <v>46306</v>
      </c>
      <c r="H182" s="5">
        <f>IF(G182="","",Rules!$B$1-G182)</f>
        <v/>
      </c>
      <c r="I182" s="5">
        <f>IF(F182="Address issue","address issue",IF(OR(F182="Delivered",F182="Returned to sender",G182=""),"",IF(AND(Rules!$B$3&lt;&gt;"",F182="Held at customs",H182&gt;=Rules!$B$3),"customs &gt;= "&amp;Rules!$B$3&amp;" days",IF(H182&gt;=Rules!$B$2,"idle &gt;= "&amp;Rules!$B$2&amp;" days",""))))</f>
        <v/>
      </c>
      <c r="J182" s="5">
        <f>IF(I182="","",IF(F182="Address issue",0,COUNTIF($I$2:$I$1001,"address issue"))+COUNTIFS($I$2:$I$1001,"?*",$F$2:$F$1001,IF(F182="Address issue","Address issue","&lt;&gt;Address issue"),$H$2:$H$1001,"&gt;"&amp;H182)+1)</f>
        <v/>
      </c>
    </row>
    <row r="183">
      <c r="A183" s="11" t="n">
        <v>100182</v>
      </c>
      <c r="B183" s="11" t="inlineStr">
        <is>
          <t>Мексика</t>
        </is>
      </c>
      <c r="C183" s="11" t="inlineStr">
        <is>
          <t>AndesCargo</t>
        </is>
      </c>
      <c r="D183" s="11" t="inlineStr">
        <is>
          <t>AC23264179</t>
        </is>
      </c>
      <c r="E183" s="13" t="n">
        <v>46305</v>
      </c>
      <c r="F183" s="11" t="inlineStr">
        <is>
          <t>In transit</t>
        </is>
      </c>
      <c r="G183" s="13" t="n">
        <v>46309</v>
      </c>
      <c r="H183" s="5">
        <f>IF(G183="","",Rules!$B$1-G183)</f>
        <v/>
      </c>
      <c r="I183" s="5">
        <f>IF(F183="Address issue","address issue",IF(OR(F183="Delivered",F183="Returned to sender",G183=""),"",IF(AND(Rules!$B$3&lt;&gt;"",F183="Held at customs",H183&gt;=Rules!$B$3),"customs &gt;= "&amp;Rules!$B$3&amp;" days",IF(H183&gt;=Rules!$B$2,"idle &gt;= "&amp;Rules!$B$2&amp;" days",""))))</f>
        <v/>
      </c>
      <c r="J183" s="5">
        <f>IF(I183="","",IF(F183="Address issue",0,COUNTIF($I$2:$I$1001,"address issue"))+COUNTIFS($I$2:$I$1001,"?*",$F$2:$F$1001,IF(F183="Address issue","Address issue","&lt;&gt;Address issue"),$H$2:$H$1001,"&gt;"&amp;H183)+1)</f>
        <v/>
      </c>
    </row>
    <row r="184">
      <c r="A184" s="11" t="n">
        <v>100183</v>
      </c>
      <c r="B184" s="11" t="inlineStr">
        <is>
          <t>Бразилія</t>
        </is>
      </c>
      <c r="C184" s="11" t="inlineStr">
        <is>
          <t>SwiftParcel</t>
        </is>
      </c>
      <c r="D184" s="11" t="inlineStr">
        <is>
          <t>SP2260395</t>
        </is>
      </c>
      <c r="E184" s="12" t="n">
        <v>46304</v>
      </c>
      <c r="F184" s="11" t="inlineStr">
        <is>
          <t>In transit</t>
        </is>
      </c>
      <c r="G184" s="13" t="n">
        <v>46308</v>
      </c>
      <c r="H184" s="5">
        <f>IF(G184="","",Rules!$B$1-G184)</f>
        <v/>
      </c>
      <c r="I184" s="5">
        <f>IF(F184="Address issue","address issue",IF(OR(F184="Delivered",F184="Returned to sender",G184=""),"",IF(AND(Rules!$B$3&lt;&gt;"",F184="Held at customs",H184&gt;=Rules!$B$3),"customs &gt;= "&amp;Rules!$B$3&amp;" days",IF(H184&gt;=Rules!$B$2,"idle &gt;= "&amp;Rules!$B$2&amp;" days",""))))</f>
        <v/>
      </c>
      <c r="J184" s="5">
        <f>IF(I184="","",IF(F184="Address issue",0,COUNTIF($I$2:$I$1001,"address issue"))+COUNTIFS($I$2:$I$1001,"?*",$F$2:$F$1001,IF(F184="Address issue","Address issue","&lt;&gt;Address issue"),$H$2:$H$1001,"&gt;"&amp;H184)+1)</f>
        <v/>
      </c>
    </row>
    <row r="185">
      <c r="A185" s="11" t="n">
        <v>100184</v>
      </c>
      <c r="B185" s="11" t="inlineStr">
        <is>
          <t>Бразилія</t>
        </is>
      </c>
      <c r="C185" s="11" t="inlineStr">
        <is>
          <t>SwiftParcel</t>
        </is>
      </c>
      <c r="D185" s="11" t="inlineStr">
        <is>
          <t>SP3235619</t>
        </is>
      </c>
      <c r="E185" s="12" t="n">
        <v>46290</v>
      </c>
      <c r="F185" s="11" t="inlineStr">
        <is>
          <t>Delivered</t>
        </is>
      </c>
      <c r="G185" s="12" t="n">
        <v>46301</v>
      </c>
      <c r="H185" s="5">
        <f>IF(G185="","",Rules!$B$1-G185)</f>
        <v/>
      </c>
      <c r="I185" s="5">
        <f>IF(F185="Address issue","address issue",IF(OR(F185="Delivered",F185="Returned to sender",G185=""),"",IF(AND(Rules!$B$3&lt;&gt;"",F185="Held at customs",H185&gt;=Rules!$B$3),"customs &gt;= "&amp;Rules!$B$3&amp;" days",IF(H185&gt;=Rules!$B$2,"idle &gt;= "&amp;Rules!$B$2&amp;" days",""))))</f>
        <v/>
      </c>
      <c r="J185" s="5">
        <f>IF(I185="","",IF(F185="Address issue",0,COUNTIF($I$2:$I$1001,"address issue"))+COUNTIFS($I$2:$I$1001,"?*",$F$2:$F$1001,IF(F185="Address issue","Address issue","&lt;&gt;Address issue"),$H$2:$H$1001,"&gt;"&amp;H185)+1)</f>
        <v/>
      </c>
    </row>
    <row r="186">
      <c r="A186" s="11" t="n">
        <v>100185</v>
      </c>
      <c r="B186" s="11" t="inlineStr">
        <is>
          <t>Мексика</t>
        </is>
      </c>
      <c r="C186" s="11" t="inlineStr">
        <is>
          <t>AndesCargo</t>
        </is>
      </c>
      <c r="D186" s="11" t="inlineStr">
        <is>
          <t>AC52342601</t>
        </is>
      </c>
      <c r="E186" s="13" t="n">
        <v>46309</v>
      </c>
      <c r="F186" s="11" t="inlineStr">
        <is>
          <t>Out for delivery</t>
        </is>
      </c>
      <c r="G186" s="13" t="n">
        <v>46310</v>
      </c>
      <c r="H186" s="5">
        <f>IF(G186="","",Rules!$B$1-G186)</f>
        <v/>
      </c>
      <c r="I186" s="5">
        <f>IF(F186="Address issue","address issue",IF(OR(F186="Delivered",F186="Returned to sender",G186=""),"",IF(AND(Rules!$B$3&lt;&gt;"",F186="Held at customs",H186&gt;=Rules!$B$3),"customs &gt;= "&amp;Rules!$B$3&amp;" days",IF(H186&gt;=Rules!$B$2,"idle &gt;= "&amp;Rules!$B$2&amp;" days",""))))</f>
        <v/>
      </c>
      <c r="J186" s="5">
        <f>IF(I186="","",IF(F186="Address issue",0,COUNTIF($I$2:$I$1001,"address issue"))+COUNTIFS($I$2:$I$1001,"?*",$F$2:$F$1001,IF(F186="Address issue","Address issue","&lt;&gt;Address issue"),$H$2:$H$1001,"&gt;"&amp;H186)+1)</f>
        <v/>
      </c>
    </row>
    <row r="187">
      <c r="A187" s="11" t="n">
        <v>100186</v>
      </c>
      <c r="B187" s="11" t="inlineStr">
        <is>
          <t>Мексика</t>
        </is>
      </c>
      <c r="C187" s="11" t="inlineStr">
        <is>
          <t>AndesCargo</t>
        </is>
      </c>
      <c r="D187" s="11" t="inlineStr">
        <is>
          <t>AC88967460</t>
        </is>
      </c>
      <c r="E187" s="12" t="n">
        <v>46296</v>
      </c>
      <c r="F187" s="11" t="inlineStr">
        <is>
          <t>Delivered</t>
        </is>
      </c>
      <c r="G187" s="12" t="n">
        <v>46293</v>
      </c>
      <c r="H187" s="5">
        <f>IF(G187="","",Rules!$B$1-G187)</f>
        <v/>
      </c>
      <c r="I187" s="5">
        <f>IF(F187="Address issue","address issue",IF(OR(F187="Delivered",F187="Returned to sender",G187=""),"",IF(AND(Rules!$B$3&lt;&gt;"",F187="Held at customs",H187&gt;=Rules!$B$3),"customs &gt;= "&amp;Rules!$B$3&amp;" days",IF(H187&gt;=Rules!$B$2,"idle &gt;= "&amp;Rules!$B$2&amp;" days",""))))</f>
        <v/>
      </c>
      <c r="J187" s="5">
        <f>IF(I187="","",IF(F187="Address issue",0,COUNTIF($I$2:$I$1001,"address issue"))+COUNTIFS($I$2:$I$1001,"?*",$F$2:$F$1001,IF(F187="Address issue","Address issue","&lt;&gt;Address issue"),$H$2:$H$1001,"&gt;"&amp;H187)+1)</f>
        <v/>
      </c>
    </row>
    <row r="188">
      <c r="A188" s="11" t="n">
        <v>100187</v>
      </c>
      <c r="B188" s="11" t="inlineStr">
        <is>
          <t>Мексика</t>
        </is>
      </c>
      <c r="C188" s="11" t="inlineStr">
        <is>
          <t>AndesCargo</t>
        </is>
      </c>
      <c r="D188" s="11" t="inlineStr">
        <is>
          <t>AC41251125</t>
        </is>
      </c>
      <c r="E188" s="13" t="n">
        <v>46305</v>
      </c>
      <c r="F188" s="11" t="inlineStr">
        <is>
          <t>In transit</t>
        </is>
      </c>
      <c r="G188" s="13" t="n">
        <v>46309</v>
      </c>
      <c r="H188" s="5">
        <f>IF(G188="","",Rules!$B$1-G188)</f>
        <v/>
      </c>
      <c r="I188" s="5">
        <f>IF(F188="Address issue","address issue",IF(OR(F188="Delivered",F188="Returned to sender",G188=""),"",IF(AND(Rules!$B$3&lt;&gt;"",F188="Held at customs",H188&gt;=Rules!$B$3),"customs &gt;= "&amp;Rules!$B$3&amp;" days",IF(H188&gt;=Rules!$B$2,"idle &gt;= "&amp;Rules!$B$2&amp;" days",""))))</f>
        <v/>
      </c>
      <c r="J188" s="5">
        <f>IF(I188="","",IF(F188="Address issue",0,COUNTIF($I$2:$I$1001,"address issue"))+COUNTIFS($I$2:$I$1001,"?*",$F$2:$F$1001,IF(F188="Address issue","Address issue","&lt;&gt;Address issue"),$H$2:$H$1001,"&gt;"&amp;H188)+1)</f>
        <v/>
      </c>
    </row>
    <row r="189">
      <c r="A189" s="11" t="n">
        <v>100188</v>
      </c>
      <c r="B189" s="11" t="inlineStr">
        <is>
          <t>Канада</t>
        </is>
      </c>
      <c r="C189" s="11" t="inlineStr">
        <is>
          <t>PostLink</t>
        </is>
      </c>
      <c r="D189" s="11" t="inlineStr">
        <is>
          <t>PL26433685</t>
        </is>
      </c>
      <c r="E189" s="12" t="n">
        <v>46281</v>
      </c>
      <c r="F189" s="11" t="inlineStr">
        <is>
          <t>Delivered</t>
        </is>
      </c>
      <c r="G189" s="12" t="n">
        <v>46292</v>
      </c>
      <c r="H189" s="5">
        <f>IF(G189="","",Rules!$B$1-G189)</f>
        <v/>
      </c>
      <c r="I189" s="5">
        <f>IF(F189="Address issue","address issue",IF(OR(F189="Delivered",F189="Returned to sender",G189=""),"",IF(AND(Rules!$B$3&lt;&gt;"",F189="Held at customs",H189&gt;=Rules!$B$3),"customs &gt;= "&amp;Rules!$B$3&amp;" days",IF(H189&gt;=Rules!$B$2,"idle &gt;= "&amp;Rules!$B$2&amp;" days",""))))</f>
        <v/>
      </c>
      <c r="J189" s="5">
        <f>IF(I189="","",IF(F189="Address issue",0,COUNTIF($I$2:$I$1001,"address issue"))+COUNTIFS($I$2:$I$1001,"?*",$F$2:$F$1001,IF(F189="Address issue","Address issue","&lt;&gt;Address issue"),$H$2:$H$1001,"&gt;"&amp;H189)+1)</f>
        <v/>
      </c>
    </row>
    <row r="190">
      <c r="A190" s="11" t="n">
        <v>100189</v>
      </c>
      <c r="B190" s="11" t="inlineStr">
        <is>
          <t>Мексика</t>
        </is>
      </c>
      <c r="C190" s="11" t="inlineStr">
        <is>
          <t>SwiftParcel</t>
        </is>
      </c>
      <c r="D190" s="11" t="inlineStr">
        <is>
          <t>SP7061716</t>
        </is>
      </c>
      <c r="E190" s="12" t="n">
        <v>46282</v>
      </c>
      <c r="F190" s="11" t="inlineStr">
        <is>
          <t>Delivered</t>
        </is>
      </c>
      <c r="G190" s="12" t="n">
        <v>46285</v>
      </c>
      <c r="H190" s="5">
        <f>IF(G190="","",Rules!$B$1-G190)</f>
        <v/>
      </c>
      <c r="I190" s="5">
        <f>IF(F190="Address issue","address issue",IF(OR(F190="Delivered",F190="Returned to sender",G190=""),"",IF(AND(Rules!$B$3&lt;&gt;"",F190="Held at customs",H190&gt;=Rules!$B$3),"customs &gt;= "&amp;Rules!$B$3&amp;" days",IF(H190&gt;=Rules!$B$2,"idle &gt;= "&amp;Rules!$B$2&amp;" days",""))))</f>
        <v/>
      </c>
      <c r="J190" s="5">
        <f>IF(I190="","",IF(F190="Address issue",0,COUNTIF($I$2:$I$1001,"address issue"))+COUNTIFS($I$2:$I$1001,"?*",$F$2:$F$1001,IF(F190="Address issue","Address issue","&lt;&gt;Address issue"),$H$2:$H$1001,"&gt;"&amp;H190)+1)</f>
        <v/>
      </c>
    </row>
    <row r="191">
      <c r="A191" s="11" t="n">
        <v>100190</v>
      </c>
      <c r="B191" s="11" t="inlineStr">
        <is>
          <t>Бразилія</t>
        </is>
      </c>
      <c r="C191" s="11" t="inlineStr">
        <is>
          <t>AndesCargo</t>
        </is>
      </c>
      <c r="D191" s="11" t="inlineStr">
        <is>
          <t>AC57604360</t>
        </is>
      </c>
      <c r="E191" s="12" t="n">
        <v>46268</v>
      </c>
      <c r="F191" s="11" t="inlineStr">
        <is>
          <t>Delivered</t>
        </is>
      </c>
      <c r="G191" s="12" t="n">
        <v>46280</v>
      </c>
      <c r="H191" s="5">
        <f>IF(G191="","",Rules!$B$1-G191)</f>
        <v/>
      </c>
      <c r="I191" s="5">
        <f>IF(F191="Address issue","address issue",IF(OR(F191="Delivered",F191="Returned to sender",G191=""),"",IF(AND(Rules!$B$3&lt;&gt;"",F191="Held at customs",H191&gt;=Rules!$B$3),"customs &gt;= "&amp;Rules!$B$3&amp;" days",IF(H191&gt;=Rules!$B$2,"idle &gt;= "&amp;Rules!$B$2&amp;" days",""))))</f>
        <v/>
      </c>
      <c r="J191" s="5">
        <f>IF(I191="","",IF(F191="Address issue",0,COUNTIF($I$2:$I$1001,"address issue"))+COUNTIFS($I$2:$I$1001,"?*",$F$2:$F$1001,IF(F191="Address issue","Address issue","&lt;&gt;Address issue"),$H$2:$H$1001,"&gt;"&amp;H191)+1)</f>
        <v/>
      </c>
    </row>
    <row r="192">
      <c r="A192" s="11" t="n">
        <v>100191</v>
      </c>
      <c r="B192" s="11" t="inlineStr">
        <is>
          <t>Бразилія</t>
        </is>
      </c>
      <c r="C192" s="11" t="inlineStr">
        <is>
          <t>SwiftParcel</t>
        </is>
      </c>
      <c r="D192" s="11" t="inlineStr">
        <is>
          <t>SP9199722</t>
        </is>
      </c>
      <c r="E192" s="13" t="n">
        <v>46309</v>
      </c>
      <c r="F192" s="11" t="inlineStr">
        <is>
          <t>Address issue</t>
        </is>
      </c>
      <c r="G192" s="13" t="n">
        <v>46310</v>
      </c>
      <c r="H192" s="5">
        <f>IF(G192="","",Rules!$B$1-G192)</f>
        <v/>
      </c>
      <c r="I192" s="5">
        <f>IF(F192="Address issue","address issue",IF(OR(F192="Delivered",F192="Returned to sender",G192=""),"",IF(AND(Rules!$B$3&lt;&gt;"",F192="Held at customs",H192&gt;=Rules!$B$3),"customs &gt;= "&amp;Rules!$B$3&amp;" days",IF(H192&gt;=Rules!$B$2,"idle &gt;= "&amp;Rules!$B$2&amp;" days",""))))</f>
        <v/>
      </c>
      <c r="J192" s="5">
        <f>IF(I192="","",IF(F192="Address issue",0,COUNTIF($I$2:$I$1001,"address issue"))+COUNTIFS($I$2:$I$1001,"?*",$F$2:$F$1001,IF(F192="Address issue","Address issue","&lt;&gt;Address issue"),$H$2:$H$1001,"&gt;"&amp;H192)+1)</f>
        <v/>
      </c>
    </row>
    <row r="193">
      <c r="A193" s="11" t="n">
        <v>100192</v>
      </c>
      <c r="B193" s="11" t="inlineStr">
        <is>
          <t>Мексика</t>
        </is>
      </c>
      <c r="C193" s="11" t="inlineStr">
        <is>
          <t>AndesCargo</t>
        </is>
      </c>
      <c r="D193" s="11" t="inlineStr">
        <is>
          <t>AC11231818</t>
        </is>
      </c>
      <c r="E193" s="12" t="n">
        <v>46290</v>
      </c>
      <c r="F193" s="11" t="inlineStr">
        <is>
          <t>Delivered</t>
        </is>
      </c>
      <c r="G193" s="12" t="n">
        <v>46293</v>
      </c>
      <c r="H193" s="5">
        <f>IF(G193="","",Rules!$B$1-G193)</f>
        <v/>
      </c>
      <c r="I193" s="5">
        <f>IF(F193="Address issue","address issue",IF(OR(F193="Delivered",F193="Returned to sender",G193=""),"",IF(AND(Rules!$B$3&lt;&gt;"",F193="Held at customs",H193&gt;=Rules!$B$3),"customs &gt;= "&amp;Rules!$B$3&amp;" days",IF(H193&gt;=Rules!$B$2,"idle &gt;= "&amp;Rules!$B$2&amp;" days",""))))</f>
        <v/>
      </c>
      <c r="J193" s="5">
        <f>IF(I193="","",IF(F193="Address issue",0,COUNTIF($I$2:$I$1001,"address issue"))+COUNTIFS($I$2:$I$1001,"?*",$F$2:$F$1001,IF(F193="Address issue","Address issue","&lt;&gt;Address issue"),$H$2:$H$1001,"&gt;"&amp;H193)+1)</f>
        <v/>
      </c>
    </row>
    <row r="194">
      <c r="A194" s="11" t="n">
        <v>100193</v>
      </c>
      <c r="B194" s="11" t="inlineStr">
        <is>
          <t>Мексика</t>
        </is>
      </c>
      <c r="C194" s="11" t="inlineStr">
        <is>
          <t>AndesCargo</t>
        </is>
      </c>
      <c r="D194" s="11" t="inlineStr">
        <is>
          <t>AC14711626</t>
        </is>
      </c>
      <c r="E194" s="12" t="n">
        <v>46298</v>
      </c>
      <c r="F194" s="11" t="inlineStr">
        <is>
          <t>Held at customs</t>
        </is>
      </c>
      <c r="G194" s="12" t="n">
        <v>46301</v>
      </c>
      <c r="H194" s="5">
        <f>IF(G194="","",Rules!$B$1-G194)</f>
        <v/>
      </c>
      <c r="I194" s="5">
        <f>IF(F194="Address issue","address issue",IF(OR(F194="Delivered",F194="Returned to sender",G194=""),"",IF(AND(Rules!$B$3&lt;&gt;"",F194="Held at customs",H194&gt;=Rules!$B$3),"customs &gt;= "&amp;Rules!$B$3&amp;" days",IF(H194&gt;=Rules!$B$2,"idle &gt;= "&amp;Rules!$B$2&amp;" days",""))))</f>
        <v/>
      </c>
      <c r="J194" s="5">
        <f>IF(I194="","",IF(F194="Address issue",0,COUNTIF($I$2:$I$1001,"address issue"))+COUNTIFS($I$2:$I$1001,"?*",$F$2:$F$1001,IF(F194="Address issue","Address issue","&lt;&gt;Address issue"),$H$2:$H$1001,"&gt;"&amp;H194)+1)</f>
        <v/>
      </c>
    </row>
    <row r="195">
      <c r="A195" s="11" t="n">
        <v>100194</v>
      </c>
      <c r="B195" s="11" t="inlineStr">
        <is>
          <t>Бразилія</t>
        </is>
      </c>
      <c r="C195" s="11" t="inlineStr">
        <is>
          <t>AndesCargo</t>
        </is>
      </c>
      <c r="D195" s="11" t="inlineStr">
        <is>
          <t>AC42617654</t>
        </is>
      </c>
      <c r="E195" s="12" t="n">
        <v>46289</v>
      </c>
      <c r="F195" s="11" t="inlineStr">
        <is>
          <t>Delivered</t>
        </is>
      </c>
      <c r="G195" s="12" t="n">
        <v>46296</v>
      </c>
      <c r="H195" s="5">
        <f>IF(G195="","",Rules!$B$1-G195)</f>
        <v/>
      </c>
      <c r="I195" s="5">
        <f>IF(F195="Address issue","address issue",IF(OR(F195="Delivered",F195="Returned to sender",G195=""),"",IF(AND(Rules!$B$3&lt;&gt;"",F195="Held at customs",H195&gt;=Rules!$B$3),"customs &gt;= "&amp;Rules!$B$3&amp;" days",IF(H195&gt;=Rules!$B$2,"idle &gt;= "&amp;Rules!$B$2&amp;" days",""))))</f>
        <v/>
      </c>
      <c r="J195" s="5">
        <f>IF(I195="","",IF(F195="Address issue",0,COUNTIF($I$2:$I$1001,"address issue"))+COUNTIFS($I$2:$I$1001,"?*",$F$2:$F$1001,IF(F195="Address issue","Address issue","&lt;&gt;Address issue"),$H$2:$H$1001,"&gt;"&amp;H195)+1)</f>
        <v/>
      </c>
    </row>
    <row r="196">
      <c r="A196" s="11" t="n">
        <v>100195</v>
      </c>
      <c r="B196" s="11" t="inlineStr">
        <is>
          <t>Мексика</t>
        </is>
      </c>
      <c r="C196" s="11" t="inlineStr">
        <is>
          <t>AndesCargo</t>
        </is>
      </c>
      <c r="D196" s="11" t="inlineStr">
        <is>
          <t>AC36204855</t>
        </is>
      </c>
      <c r="E196" s="12" t="n">
        <v>46294</v>
      </c>
      <c r="F196" s="11" t="inlineStr">
        <is>
          <t>Delivered</t>
        </is>
      </c>
      <c r="G196" s="12" t="n">
        <v>46298</v>
      </c>
      <c r="H196" s="5">
        <f>IF(G196="","",Rules!$B$1-G196)</f>
        <v/>
      </c>
      <c r="I196" s="5">
        <f>IF(F196="Address issue","address issue",IF(OR(F196="Delivered",F196="Returned to sender",G196=""),"",IF(AND(Rules!$B$3&lt;&gt;"",F196="Held at customs",H196&gt;=Rules!$B$3),"customs &gt;= "&amp;Rules!$B$3&amp;" days",IF(H196&gt;=Rules!$B$2,"idle &gt;= "&amp;Rules!$B$2&amp;" days",""))))</f>
        <v/>
      </c>
      <c r="J196" s="5">
        <f>IF(I196="","",IF(F196="Address issue",0,COUNTIF($I$2:$I$1001,"address issue"))+COUNTIFS($I$2:$I$1001,"?*",$F$2:$F$1001,IF(F196="Address issue","Address issue","&lt;&gt;Address issue"),$H$2:$H$1001,"&gt;"&amp;H196)+1)</f>
        <v/>
      </c>
    </row>
    <row r="197">
      <c r="A197" s="11" t="n">
        <v>100196</v>
      </c>
      <c r="B197" s="11" t="inlineStr">
        <is>
          <t>Бразилія</t>
        </is>
      </c>
      <c r="C197" s="11" t="inlineStr">
        <is>
          <t>SwiftParcel</t>
        </is>
      </c>
      <c r="D197" s="11" t="inlineStr">
        <is>
          <t>SP8151122</t>
        </is>
      </c>
      <c r="E197" s="12" t="n">
        <v>46284</v>
      </c>
      <c r="F197" s="11" t="inlineStr">
        <is>
          <t>Delivered</t>
        </is>
      </c>
      <c r="G197" s="12" t="n">
        <v>46291</v>
      </c>
      <c r="H197" s="5">
        <f>IF(G197="","",Rules!$B$1-G197)</f>
        <v/>
      </c>
      <c r="I197" s="5">
        <f>IF(F197="Address issue","address issue",IF(OR(F197="Delivered",F197="Returned to sender",G197=""),"",IF(AND(Rules!$B$3&lt;&gt;"",F197="Held at customs",H197&gt;=Rules!$B$3),"customs &gt;= "&amp;Rules!$B$3&amp;" days",IF(H197&gt;=Rules!$B$2,"idle &gt;= "&amp;Rules!$B$2&amp;" days",""))))</f>
        <v/>
      </c>
      <c r="J197" s="5">
        <f>IF(I197="","",IF(F197="Address issue",0,COUNTIF($I$2:$I$1001,"address issue"))+COUNTIFS($I$2:$I$1001,"?*",$F$2:$F$1001,IF(F197="Address issue","Address issue","&lt;&gt;Address issue"),$H$2:$H$1001,"&gt;"&amp;H197)+1)</f>
        <v/>
      </c>
    </row>
    <row r="198">
      <c r="A198" s="11" t="n">
        <v>100197</v>
      </c>
      <c r="B198" s="11" t="inlineStr">
        <is>
          <t>Мексика</t>
        </is>
      </c>
      <c r="C198" s="11" t="inlineStr">
        <is>
          <t>AndesCargo</t>
        </is>
      </c>
      <c r="D198" s="11" t="inlineStr">
        <is>
          <t>AC47947905</t>
        </is>
      </c>
      <c r="E198" s="12" t="n">
        <v>46292</v>
      </c>
      <c r="F198" s="11" t="inlineStr">
        <is>
          <t>Delivered</t>
        </is>
      </c>
      <c r="G198" s="12" t="n">
        <v>46295</v>
      </c>
      <c r="H198" s="5">
        <f>IF(G198="","",Rules!$B$1-G198)</f>
        <v/>
      </c>
      <c r="I198" s="5">
        <f>IF(F198="Address issue","address issue",IF(OR(F198="Delivered",F198="Returned to sender",G198=""),"",IF(AND(Rules!$B$3&lt;&gt;"",F198="Held at customs",H198&gt;=Rules!$B$3),"customs &gt;= "&amp;Rules!$B$3&amp;" days",IF(H198&gt;=Rules!$B$2,"idle &gt;= "&amp;Rules!$B$2&amp;" days",""))))</f>
        <v/>
      </c>
      <c r="J198" s="5">
        <f>IF(I198="","",IF(F198="Address issue",0,COUNTIF($I$2:$I$1001,"address issue"))+COUNTIFS($I$2:$I$1001,"?*",$F$2:$F$1001,IF(F198="Address issue","Address issue","&lt;&gt;Address issue"),$H$2:$H$1001,"&gt;"&amp;H198)+1)</f>
        <v/>
      </c>
    </row>
    <row r="199">
      <c r="A199" s="11" t="n">
        <v>100198</v>
      </c>
      <c r="B199" s="11" t="inlineStr">
        <is>
          <t>Мексика</t>
        </is>
      </c>
      <c r="C199" s="11" t="inlineStr">
        <is>
          <t>AndesCargo</t>
        </is>
      </c>
      <c r="D199" s="11" t="inlineStr">
        <is>
          <t>AC88141170</t>
        </is>
      </c>
      <c r="E199" s="12" t="n">
        <v>46297</v>
      </c>
      <c r="F199" s="11" t="inlineStr">
        <is>
          <t>In transit</t>
        </is>
      </c>
      <c r="G199" s="12" t="n">
        <v>46304</v>
      </c>
      <c r="H199" s="5">
        <f>IF(G199="","",Rules!$B$1-G199)</f>
        <v/>
      </c>
      <c r="I199" s="5">
        <f>IF(F199="Address issue","address issue",IF(OR(F199="Delivered",F199="Returned to sender",G199=""),"",IF(AND(Rules!$B$3&lt;&gt;"",F199="Held at customs",H199&gt;=Rules!$B$3),"customs &gt;= "&amp;Rules!$B$3&amp;" days",IF(H199&gt;=Rules!$B$2,"idle &gt;= "&amp;Rules!$B$2&amp;" days",""))))</f>
        <v/>
      </c>
      <c r="J199" s="5">
        <f>IF(I199="","",IF(F199="Address issue",0,COUNTIF($I$2:$I$1001,"address issue"))+COUNTIFS($I$2:$I$1001,"?*",$F$2:$F$1001,IF(F199="Address issue","Address issue","&lt;&gt;Address issue"),$H$2:$H$1001,"&gt;"&amp;H199)+1)</f>
        <v/>
      </c>
    </row>
    <row r="200">
      <c r="A200" s="11" t="n">
        <v>100199</v>
      </c>
      <c r="B200" s="11" t="inlineStr">
        <is>
          <t>Бразилія</t>
        </is>
      </c>
      <c r="C200" s="11" t="inlineStr">
        <is>
          <t>SwiftParcel</t>
        </is>
      </c>
      <c r="D200" s="11" t="inlineStr">
        <is>
          <t>SP9627207</t>
        </is>
      </c>
      <c r="E200" s="12" t="n">
        <v>46291</v>
      </c>
      <c r="F200" s="11" t="inlineStr">
        <is>
          <t>Delivered</t>
        </is>
      </c>
      <c r="G200" s="12" t="n">
        <v>46297</v>
      </c>
      <c r="H200" s="5">
        <f>IF(G200="","",Rules!$B$1-G200)</f>
        <v/>
      </c>
      <c r="I200" s="5">
        <f>IF(F200="Address issue","address issue",IF(OR(F200="Delivered",F200="Returned to sender",G200=""),"",IF(AND(Rules!$B$3&lt;&gt;"",F200="Held at customs",H200&gt;=Rules!$B$3),"customs &gt;= "&amp;Rules!$B$3&amp;" days",IF(H200&gt;=Rules!$B$2,"idle &gt;= "&amp;Rules!$B$2&amp;" days",""))))</f>
        <v/>
      </c>
      <c r="J200" s="5">
        <f>IF(I200="","",IF(F200="Address issue",0,COUNTIF($I$2:$I$1001,"address issue"))+COUNTIFS($I$2:$I$1001,"?*",$F$2:$F$1001,IF(F200="Address issue","Address issue","&lt;&gt;Address issue"),$H$2:$H$1001,"&gt;"&amp;H200)+1)</f>
        <v/>
      </c>
    </row>
    <row r="201">
      <c r="A201" s="11" t="n">
        <v>100200</v>
      </c>
      <c r="B201" s="11" t="inlineStr">
        <is>
          <t>Мексика</t>
        </is>
      </c>
      <c r="C201" s="11" t="inlineStr">
        <is>
          <t>AndesCargo</t>
        </is>
      </c>
      <c r="D201" s="11" t="inlineStr">
        <is>
          <t>AC74103261</t>
        </is>
      </c>
      <c r="E201" s="12" t="n">
        <v>46294</v>
      </c>
      <c r="F201" s="11" t="inlineStr">
        <is>
          <t>Label created</t>
        </is>
      </c>
      <c r="G201" s="12" t="n">
        <v>46294</v>
      </c>
      <c r="H201" s="5">
        <f>IF(G201="","",Rules!$B$1-G201)</f>
        <v/>
      </c>
      <c r="I201" s="5">
        <f>IF(F201="Address issue","address issue",IF(OR(F201="Delivered",F201="Returned to sender",G201=""),"",IF(AND(Rules!$B$3&lt;&gt;"",F201="Held at customs",H201&gt;=Rules!$B$3),"customs &gt;= "&amp;Rules!$B$3&amp;" days",IF(H201&gt;=Rules!$B$2,"idle &gt;= "&amp;Rules!$B$2&amp;" days",""))))</f>
        <v/>
      </c>
      <c r="J201" s="5">
        <f>IF(I201="","",IF(F201="Address issue",0,COUNTIF($I$2:$I$1001,"address issue"))+COUNTIFS($I$2:$I$1001,"?*",$F$2:$F$1001,IF(F201="Address issue","Address issue","&lt;&gt;Address issue"),$H$2:$H$1001,"&gt;"&amp;H201)+1)</f>
        <v/>
      </c>
    </row>
    <row r="202">
      <c r="A202" s="11" t="n">
        <v>100201</v>
      </c>
      <c r="B202" s="11" t="inlineStr">
        <is>
          <t>Бразилія</t>
        </is>
      </c>
      <c r="C202" s="11" t="inlineStr">
        <is>
          <t>SwiftParcel</t>
        </is>
      </c>
      <c r="D202" s="11" t="inlineStr">
        <is>
          <t>SP8905003</t>
        </is>
      </c>
      <c r="E202" s="12" t="n">
        <v>46296</v>
      </c>
      <c r="F202" s="11" t="inlineStr">
        <is>
          <t>In transit</t>
        </is>
      </c>
      <c r="G202" s="12" t="n">
        <v>46304</v>
      </c>
      <c r="H202" s="5">
        <f>IF(G202="","",Rules!$B$1-G202)</f>
        <v/>
      </c>
      <c r="I202" s="5">
        <f>IF(F202="Address issue","address issue",IF(OR(F202="Delivered",F202="Returned to sender",G202=""),"",IF(AND(Rules!$B$3&lt;&gt;"",F202="Held at customs",H202&gt;=Rules!$B$3),"customs &gt;= "&amp;Rules!$B$3&amp;" days",IF(H202&gt;=Rules!$B$2,"idle &gt;= "&amp;Rules!$B$2&amp;" days",""))))</f>
        <v/>
      </c>
      <c r="J202" s="5">
        <f>IF(I202="","",IF(F202="Address issue",0,COUNTIF($I$2:$I$1001,"address issue"))+COUNTIFS($I$2:$I$1001,"?*",$F$2:$F$1001,IF(F202="Address issue","Address issue","&lt;&gt;Address issue"),$H$2:$H$1001,"&gt;"&amp;H202)+1)</f>
        <v/>
      </c>
    </row>
    <row r="203">
      <c r="A203" s="11" t="n">
        <v>100202</v>
      </c>
      <c r="B203" s="11" t="inlineStr">
        <is>
          <t>Мексика</t>
        </is>
      </c>
      <c r="C203" s="11" t="inlineStr">
        <is>
          <t>AndesCargo</t>
        </is>
      </c>
      <c r="D203" s="11" t="inlineStr">
        <is>
          <t>AC50469536</t>
        </is>
      </c>
      <c r="E203" s="12" t="n">
        <v>46273</v>
      </c>
      <c r="F203" s="11" t="inlineStr">
        <is>
          <t>Delivered</t>
        </is>
      </c>
      <c r="G203" s="12" t="n">
        <v>46284</v>
      </c>
      <c r="H203" s="5">
        <f>IF(G203="","",Rules!$B$1-G203)</f>
        <v/>
      </c>
      <c r="I203" s="5">
        <f>IF(F203="Address issue","address issue",IF(OR(F203="Delivered",F203="Returned to sender",G203=""),"",IF(AND(Rules!$B$3&lt;&gt;"",F203="Held at customs",H203&gt;=Rules!$B$3),"customs &gt;= "&amp;Rules!$B$3&amp;" days",IF(H203&gt;=Rules!$B$2,"idle &gt;= "&amp;Rules!$B$2&amp;" days",""))))</f>
        <v/>
      </c>
      <c r="J203" s="5">
        <f>IF(I203="","",IF(F203="Address issue",0,COUNTIF($I$2:$I$1001,"address issue"))+COUNTIFS($I$2:$I$1001,"?*",$F$2:$F$1001,IF(F203="Address issue","Address issue","&lt;&gt;Address issue"),$H$2:$H$1001,"&gt;"&amp;H203)+1)</f>
        <v/>
      </c>
    </row>
    <row r="204">
      <c r="A204" s="11" t="n">
        <v>100203</v>
      </c>
      <c r="B204" s="11" t="inlineStr">
        <is>
          <t>Мексика</t>
        </is>
      </c>
      <c r="C204" s="11" t="inlineStr">
        <is>
          <t>AndesCargo</t>
        </is>
      </c>
      <c r="D204" s="11" t="inlineStr">
        <is>
          <t>AC51640139</t>
        </is>
      </c>
      <c r="E204" s="12" t="n">
        <v>46303</v>
      </c>
      <c r="F204" s="11" t="inlineStr">
        <is>
          <t>Out for delivery</t>
        </is>
      </c>
      <c r="G204" s="13" t="n">
        <v>46308</v>
      </c>
      <c r="H204" s="5">
        <f>IF(G204="","",Rules!$B$1-G204)</f>
        <v/>
      </c>
      <c r="I204" s="5">
        <f>IF(F204="Address issue","address issue",IF(OR(F204="Delivered",F204="Returned to sender",G204=""),"",IF(AND(Rules!$B$3&lt;&gt;"",F204="Held at customs",H204&gt;=Rules!$B$3),"customs &gt;= "&amp;Rules!$B$3&amp;" days",IF(H204&gt;=Rules!$B$2,"idle &gt;= "&amp;Rules!$B$2&amp;" days",""))))</f>
        <v/>
      </c>
      <c r="J204" s="5">
        <f>IF(I204="","",IF(F204="Address issue",0,COUNTIF($I$2:$I$1001,"address issue"))+COUNTIFS($I$2:$I$1001,"?*",$F$2:$F$1001,IF(F204="Address issue","Address issue","&lt;&gt;Address issue"),$H$2:$H$1001,"&gt;"&amp;H204)+1)</f>
        <v/>
      </c>
    </row>
    <row r="205">
      <c r="A205" s="11" t="n">
        <v>100204</v>
      </c>
      <c r="B205" s="11" t="inlineStr">
        <is>
          <t>Бразилія</t>
        </is>
      </c>
      <c r="C205" s="11" t="inlineStr">
        <is>
          <t>SwiftParcel</t>
        </is>
      </c>
      <c r="D205" s="11" t="inlineStr">
        <is>
          <t>SP4894726</t>
        </is>
      </c>
      <c r="E205" s="12" t="n">
        <v>46301</v>
      </c>
      <c r="F205" s="11" t="inlineStr">
        <is>
          <t>In transit</t>
        </is>
      </c>
      <c r="G205" s="13" t="n">
        <v>46307</v>
      </c>
      <c r="H205" s="5">
        <f>IF(G205="","",Rules!$B$1-G205)</f>
        <v/>
      </c>
      <c r="I205" s="5">
        <f>IF(F205="Address issue","address issue",IF(OR(F205="Delivered",F205="Returned to sender",G205=""),"",IF(AND(Rules!$B$3&lt;&gt;"",F205="Held at customs",H205&gt;=Rules!$B$3),"customs &gt;= "&amp;Rules!$B$3&amp;" days",IF(H205&gt;=Rules!$B$2,"idle &gt;= "&amp;Rules!$B$2&amp;" days",""))))</f>
        <v/>
      </c>
      <c r="J205" s="5">
        <f>IF(I205="","",IF(F205="Address issue",0,COUNTIF($I$2:$I$1001,"address issue"))+COUNTIFS($I$2:$I$1001,"?*",$F$2:$F$1001,IF(F205="Address issue","Address issue","&lt;&gt;Address issue"),$H$2:$H$1001,"&gt;"&amp;H205)+1)</f>
        <v/>
      </c>
    </row>
    <row r="206">
      <c r="A206" s="11" t="n">
        <v>100205</v>
      </c>
      <c r="B206" s="11" t="inlineStr">
        <is>
          <t>Канада</t>
        </is>
      </c>
      <c r="C206" s="11" t="inlineStr">
        <is>
          <t>PostLink</t>
        </is>
      </c>
      <c r="D206" s="11" t="inlineStr">
        <is>
          <t>PL93997531</t>
        </is>
      </c>
      <c r="E206" s="12" t="n">
        <v>46287</v>
      </c>
      <c r="F206" s="11" t="inlineStr">
        <is>
          <t>Delivered</t>
        </is>
      </c>
      <c r="G206" s="12" t="n">
        <v>46295</v>
      </c>
      <c r="H206" s="5">
        <f>IF(G206="","",Rules!$B$1-G206)</f>
        <v/>
      </c>
      <c r="I206" s="5">
        <f>IF(F206="Address issue","address issue",IF(OR(F206="Delivered",F206="Returned to sender",G206=""),"",IF(AND(Rules!$B$3&lt;&gt;"",F206="Held at customs",H206&gt;=Rules!$B$3),"customs &gt;= "&amp;Rules!$B$3&amp;" days",IF(H206&gt;=Rules!$B$2,"idle &gt;= "&amp;Rules!$B$2&amp;" days",""))))</f>
        <v/>
      </c>
      <c r="J206" s="5">
        <f>IF(I206="","",IF(F206="Address issue",0,COUNTIF($I$2:$I$1001,"address issue"))+COUNTIFS($I$2:$I$1001,"?*",$F$2:$F$1001,IF(F206="Address issue","Address issue","&lt;&gt;Address issue"),$H$2:$H$1001,"&gt;"&amp;H206)+1)</f>
        <v/>
      </c>
    </row>
    <row r="207">
      <c r="A207" s="11" t="n">
        <v>100206</v>
      </c>
      <c r="B207" s="11" t="inlineStr">
        <is>
          <t>Мексика</t>
        </is>
      </c>
      <c r="C207" s="11" t="inlineStr">
        <is>
          <t>AndesCargo</t>
        </is>
      </c>
      <c r="D207" s="11" t="inlineStr">
        <is>
          <t>AC57824445</t>
        </is>
      </c>
      <c r="E207" s="13" t="n">
        <v>46307</v>
      </c>
      <c r="F207" s="11" t="inlineStr">
        <is>
          <t>Held at customs</t>
        </is>
      </c>
      <c r="G207" s="13" t="n">
        <v>46309</v>
      </c>
      <c r="H207" s="5">
        <f>IF(G207="","",Rules!$B$1-G207)</f>
        <v/>
      </c>
      <c r="I207" s="5">
        <f>IF(F207="Address issue","address issue",IF(OR(F207="Delivered",F207="Returned to sender",G207=""),"",IF(AND(Rules!$B$3&lt;&gt;"",F207="Held at customs",H207&gt;=Rules!$B$3),"customs &gt;= "&amp;Rules!$B$3&amp;" days",IF(H207&gt;=Rules!$B$2,"idle &gt;= "&amp;Rules!$B$2&amp;" days",""))))</f>
        <v/>
      </c>
      <c r="J207" s="5">
        <f>IF(I207="","",IF(F207="Address issue",0,COUNTIF($I$2:$I$1001,"address issue"))+COUNTIFS($I$2:$I$1001,"?*",$F$2:$F$1001,IF(F207="Address issue","Address issue","&lt;&gt;Address issue"),$H$2:$H$1001,"&gt;"&amp;H207)+1)</f>
        <v/>
      </c>
    </row>
    <row r="208">
      <c r="A208" s="11" t="n">
        <v>100207</v>
      </c>
      <c r="B208" s="11" t="inlineStr">
        <is>
          <t>Мексика</t>
        </is>
      </c>
      <c r="C208" s="11" t="inlineStr">
        <is>
          <t>SwiftParcel</t>
        </is>
      </c>
      <c r="D208" s="11" t="inlineStr">
        <is>
          <t>SP6141211</t>
        </is>
      </c>
      <c r="E208" s="13" t="n">
        <v>46305</v>
      </c>
      <c r="F208" s="11" t="inlineStr">
        <is>
          <t>Address issue</t>
        </is>
      </c>
      <c r="G208" s="13" t="n">
        <v>46306</v>
      </c>
      <c r="H208" s="5">
        <f>IF(G208="","",Rules!$B$1-G208)</f>
        <v/>
      </c>
      <c r="I208" s="5">
        <f>IF(F208="Address issue","address issue",IF(OR(F208="Delivered",F208="Returned to sender",G208=""),"",IF(AND(Rules!$B$3&lt;&gt;"",F208="Held at customs",H208&gt;=Rules!$B$3),"customs &gt;= "&amp;Rules!$B$3&amp;" days",IF(H208&gt;=Rules!$B$2,"idle &gt;= "&amp;Rules!$B$2&amp;" days",""))))</f>
        <v/>
      </c>
      <c r="J208" s="5">
        <f>IF(I208="","",IF(F208="Address issue",0,COUNTIF($I$2:$I$1001,"address issue"))+COUNTIFS($I$2:$I$1001,"?*",$F$2:$F$1001,IF(F208="Address issue","Address issue","&lt;&gt;Address issue"),$H$2:$H$1001,"&gt;"&amp;H208)+1)</f>
        <v/>
      </c>
    </row>
    <row r="209">
      <c r="A209" s="11" t="n">
        <v>100208</v>
      </c>
      <c r="B209" s="11" t="inlineStr">
        <is>
          <t>Бразилія</t>
        </is>
      </c>
      <c r="C209" s="11" t="inlineStr">
        <is>
          <t>SwiftParcel</t>
        </is>
      </c>
      <c r="D209" s="11" t="inlineStr">
        <is>
          <t>SP1834523</t>
        </is>
      </c>
      <c r="E209" s="12" t="n">
        <v>46289</v>
      </c>
      <c r="F209" s="11" t="inlineStr">
        <is>
          <t>Delivered</t>
        </is>
      </c>
      <c r="G209" s="12" t="n">
        <v>46301</v>
      </c>
      <c r="H209" s="5">
        <f>IF(G209="","",Rules!$B$1-G209)</f>
        <v/>
      </c>
      <c r="I209" s="5">
        <f>IF(F209="Address issue","address issue",IF(OR(F209="Delivered",F209="Returned to sender",G209=""),"",IF(AND(Rules!$B$3&lt;&gt;"",F209="Held at customs",H209&gt;=Rules!$B$3),"customs &gt;= "&amp;Rules!$B$3&amp;" days",IF(H209&gt;=Rules!$B$2,"idle &gt;= "&amp;Rules!$B$2&amp;" days",""))))</f>
        <v/>
      </c>
      <c r="J209" s="5">
        <f>IF(I209="","",IF(F209="Address issue",0,COUNTIF($I$2:$I$1001,"address issue"))+COUNTIFS($I$2:$I$1001,"?*",$F$2:$F$1001,IF(F209="Address issue","Address issue","&lt;&gt;Address issue"),$H$2:$H$1001,"&gt;"&amp;H209)+1)</f>
        <v/>
      </c>
    </row>
    <row r="210">
      <c r="A210" s="11" t="n">
        <v>100209</v>
      </c>
      <c r="B210" s="11" t="inlineStr">
        <is>
          <t>Канада</t>
        </is>
      </c>
      <c r="C210" s="11" t="inlineStr">
        <is>
          <t>PostLink</t>
        </is>
      </c>
      <c r="D210" s="11" t="inlineStr">
        <is>
          <t>PL27228837</t>
        </is>
      </c>
      <c r="E210" s="12" t="n">
        <v>46303</v>
      </c>
      <c r="F210" s="11" t="inlineStr">
        <is>
          <t>Delivered</t>
        </is>
      </c>
      <c r="G210" s="13" t="n">
        <v>46307</v>
      </c>
      <c r="H210" s="5">
        <f>IF(G210="","",Rules!$B$1-G210)</f>
        <v/>
      </c>
      <c r="I210" s="5">
        <f>IF(F210="Address issue","address issue",IF(OR(F210="Delivered",F210="Returned to sender",G210=""),"",IF(AND(Rules!$B$3&lt;&gt;"",F210="Held at customs",H210&gt;=Rules!$B$3),"customs &gt;= "&amp;Rules!$B$3&amp;" days",IF(H210&gt;=Rules!$B$2,"idle &gt;= "&amp;Rules!$B$2&amp;" days",""))))</f>
        <v/>
      </c>
      <c r="J210" s="5">
        <f>IF(I210="","",IF(F210="Address issue",0,COUNTIF($I$2:$I$1001,"address issue"))+COUNTIFS($I$2:$I$1001,"?*",$F$2:$F$1001,IF(F210="Address issue","Address issue","&lt;&gt;Address issue"),$H$2:$H$1001,"&gt;"&amp;H210)+1)</f>
        <v/>
      </c>
    </row>
    <row r="211">
      <c r="A211" s="11" t="n">
        <v>100210</v>
      </c>
      <c r="B211" s="11" t="inlineStr">
        <is>
          <t>Мексика</t>
        </is>
      </c>
      <c r="C211" s="11" t="inlineStr">
        <is>
          <t>SwiftParcel</t>
        </is>
      </c>
      <c r="D211" s="11" t="inlineStr">
        <is>
          <t>SP6717341</t>
        </is>
      </c>
      <c r="E211" s="12" t="n">
        <v>46285</v>
      </c>
      <c r="F211" s="11" t="inlineStr">
        <is>
          <t>Delivered</t>
        </is>
      </c>
      <c r="G211" s="12" t="n">
        <v>46297</v>
      </c>
      <c r="H211" s="5">
        <f>IF(G211="","",Rules!$B$1-G211)</f>
        <v/>
      </c>
      <c r="I211" s="5">
        <f>IF(F211="Address issue","address issue",IF(OR(F211="Delivered",F211="Returned to sender",G211=""),"",IF(AND(Rules!$B$3&lt;&gt;"",F211="Held at customs",H211&gt;=Rules!$B$3),"customs &gt;= "&amp;Rules!$B$3&amp;" days",IF(H211&gt;=Rules!$B$2,"idle &gt;= "&amp;Rules!$B$2&amp;" days",""))))</f>
        <v/>
      </c>
      <c r="J211" s="5">
        <f>IF(I211="","",IF(F211="Address issue",0,COUNTIF($I$2:$I$1001,"address issue"))+COUNTIFS($I$2:$I$1001,"?*",$F$2:$F$1001,IF(F211="Address issue","Address issue","&lt;&gt;Address issue"),$H$2:$H$1001,"&gt;"&amp;H211)+1)</f>
        <v/>
      </c>
    </row>
    <row r="212">
      <c r="A212" s="11" t="n">
        <v>100211</v>
      </c>
      <c r="B212" s="11" t="inlineStr">
        <is>
          <t>Мексика</t>
        </is>
      </c>
      <c r="C212" s="11" t="inlineStr">
        <is>
          <t>AndesCargo</t>
        </is>
      </c>
      <c r="D212" s="11" t="inlineStr">
        <is>
          <t>AC77669174</t>
        </is>
      </c>
      <c r="E212" s="13" t="n">
        <v>46305</v>
      </c>
      <c r="F212" s="11" t="inlineStr">
        <is>
          <t>Label created</t>
        </is>
      </c>
      <c r="G212" s="13" t="n">
        <v>46305</v>
      </c>
      <c r="H212" s="5">
        <f>IF(G212="","",Rules!$B$1-G212)</f>
        <v/>
      </c>
      <c r="I212" s="5">
        <f>IF(F212="Address issue","address issue",IF(OR(F212="Delivered",F212="Returned to sender",G212=""),"",IF(AND(Rules!$B$3&lt;&gt;"",F212="Held at customs",H212&gt;=Rules!$B$3),"customs &gt;= "&amp;Rules!$B$3&amp;" days",IF(H212&gt;=Rules!$B$2,"idle &gt;= "&amp;Rules!$B$2&amp;" days",""))))</f>
        <v/>
      </c>
      <c r="J212" s="5">
        <f>IF(I212="","",IF(F212="Address issue",0,COUNTIF($I$2:$I$1001,"address issue"))+COUNTIFS($I$2:$I$1001,"?*",$F$2:$F$1001,IF(F212="Address issue","Address issue","&lt;&gt;Address issue"),$H$2:$H$1001,"&gt;"&amp;H212)+1)</f>
        <v/>
      </c>
    </row>
    <row r="213">
      <c r="A213" s="11" t="n">
        <v>100212</v>
      </c>
      <c r="B213" s="11" t="inlineStr">
        <is>
          <t>Мексика</t>
        </is>
      </c>
      <c r="C213" s="11" t="inlineStr">
        <is>
          <t>AndesCargo</t>
        </is>
      </c>
      <c r="D213" s="11" t="inlineStr">
        <is>
          <t>AC80652510</t>
        </is>
      </c>
      <c r="E213" s="12" t="n">
        <v>46300</v>
      </c>
      <c r="F213" s="11" t="inlineStr">
        <is>
          <t>In transit</t>
        </is>
      </c>
      <c r="G213" s="13" t="n">
        <v>46307</v>
      </c>
      <c r="H213" s="5">
        <f>IF(G213="","",Rules!$B$1-G213)</f>
        <v/>
      </c>
      <c r="I213" s="5">
        <f>IF(F213="Address issue","address issue",IF(OR(F213="Delivered",F213="Returned to sender",G213=""),"",IF(AND(Rules!$B$3&lt;&gt;"",F213="Held at customs",H213&gt;=Rules!$B$3),"customs &gt;= "&amp;Rules!$B$3&amp;" days",IF(H213&gt;=Rules!$B$2,"idle &gt;= "&amp;Rules!$B$2&amp;" days",""))))</f>
        <v/>
      </c>
      <c r="J213" s="5">
        <f>IF(I213="","",IF(F213="Address issue",0,COUNTIF($I$2:$I$1001,"address issue"))+COUNTIFS($I$2:$I$1001,"?*",$F$2:$F$1001,IF(F213="Address issue","Address issue","&lt;&gt;Address issue"),$H$2:$H$1001,"&gt;"&amp;H213)+1)</f>
        <v/>
      </c>
    </row>
    <row r="214">
      <c r="A214" s="11" t="n">
        <v>100213</v>
      </c>
      <c r="B214" s="11" t="inlineStr">
        <is>
          <t>Канада</t>
        </is>
      </c>
      <c r="C214" s="11" t="inlineStr">
        <is>
          <t>PostLink</t>
        </is>
      </c>
      <c r="D214" s="11" t="inlineStr">
        <is>
          <t>PL41085760</t>
        </is>
      </c>
      <c r="E214" s="12" t="n">
        <v>46302</v>
      </c>
      <c r="F214" s="11" t="inlineStr">
        <is>
          <t>In transit</t>
        </is>
      </c>
      <c r="G214" s="13" t="n">
        <v>46309</v>
      </c>
      <c r="H214" s="5">
        <f>IF(G214="","",Rules!$B$1-G214)</f>
        <v/>
      </c>
      <c r="I214" s="5">
        <f>IF(F214="Address issue","address issue",IF(OR(F214="Delivered",F214="Returned to sender",G214=""),"",IF(AND(Rules!$B$3&lt;&gt;"",F214="Held at customs",H214&gt;=Rules!$B$3),"customs &gt;= "&amp;Rules!$B$3&amp;" days",IF(H214&gt;=Rules!$B$2,"idle &gt;= "&amp;Rules!$B$2&amp;" days",""))))</f>
        <v/>
      </c>
      <c r="J214" s="5">
        <f>IF(I214="","",IF(F214="Address issue",0,COUNTIF($I$2:$I$1001,"address issue"))+COUNTIFS($I$2:$I$1001,"?*",$F$2:$F$1001,IF(F214="Address issue","Address issue","&lt;&gt;Address issue"),$H$2:$H$1001,"&gt;"&amp;H214)+1)</f>
        <v/>
      </c>
    </row>
    <row r="215">
      <c r="A215" s="11" t="n">
        <v>100214</v>
      </c>
      <c r="B215" s="11" t="inlineStr">
        <is>
          <t>Бразилія</t>
        </is>
      </c>
      <c r="C215" s="11" t="inlineStr">
        <is>
          <t>SwiftParcel</t>
        </is>
      </c>
      <c r="D215" s="11" t="inlineStr">
        <is>
          <t>SP7364612</t>
        </is>
      </c>
      <c r="E215" s="12" t="n">
        <v>46302</v>
      </c>
      <c r="F215" s="11" t="inlineStr">
        <is>
          <t>In transit</t>
        </is>
      </c>
      <c r="G215" s="13" t="n">
        <v>46309</v>
      </c>
      <c r="H215" s="5">
        <f>IF(G215="","",Rules!$B$1-G215)</f>
        <v/>
      </c>
      <c r="I215" s="5">
        <f>IF(F215="Address issue","address issue",IF(OR(F215="Delivered",F215="Returned to sender",G215=""),"",IF(AND(Rules!$B$3&lt;&gt;"",F215="Held at customs",H215&gt;=Rules!$B$3),"customs &gt;= "&amp;Rules!$B$3&amp;" days",IF(H215&gt;=Rules!$B$2,"idle &gt;= "&amp;Rules!$B$2&amp;" days",""))))</f>
        <v/>
      </c>
      <c r="J215" s="5">
        <f>IF(I215="","",IF(F215="Address issue",0,COUNTIF($I$2:$I$1001,"address issue"))+COUNTIFS($I$2:$I$1001,"?*",$F$2:$F$1001,IF(F215="Address issue","Address issue","&lt;&gt;Address issue"),$H$2:$H$1001,"&gt;"&amp;H215)+1)</f>
        <v/>
      </c>
    </row>
    <row r="216">
      <c r="A216" s="11" t="n">
        <v>100215</v>
      </c>
      <c r="B216" s="11" t="inlineStr">
        <is>
          <t>Канада</t>
        </is>
      </c>
      <c r="C216" s="11" t="inlineStr">
        <is>
          <t>PostLink</t>
        </is>
      </c>
      <c r="D216" s="11" t="inlineStr">
        <is>
          <t>PL10196391</t>
        </is>
      </c>
      <c r="E216" s="12" t="n">
        <v>46293</v>
      </c>
      <c r="F216" s="11" t="inlineStr">
        <is>
          <t>Delivered</t>
        </is>
      </c>
      <c r="G216" s="12" t="n">
        <v>46301</v>
      </c>
      <c r="H216" s="5">
        <f>IF(G216="","",Rules!$B$1-G216)</f>
        <v/>
      </c>
      <c r="I216" s="5">
        <f>IF(F216="Address issue","address issue",IF(OR(F216="Delivered",F216="Returned to sender",G216=""),"",IF(AND(Rules!$B$3&lt;&gt;"",F216="Held at customs",H216&gt;=Rules!$B$3),"customs &gt;= "&amp;Rules!$B$3&amp;" days",IF(H216&gt;=Rules!$B$2,"idle &gt;= "&amp;Rules!$B$2&amp;" days",""))))</f>
        <v/>
      </c>
      <c r="J216" s="5">
        <f>IF(I216="","",IF(F216="Address issue",0,COUNTIF($I$2:$I$1001,"address issue"))+COUNTIFS($I$2:$I$1001,"?*",$F$2:$F$1001,IF(F216="Address issue","Address issue","&lt;&gt;Address issue"),$H$2:$H$1001,"&gt;"&amp;H216)+1)</f>
        <v/>
      </c>
    </row>
    <row r="217">
      <c r="A217" s="11" t="n">
        <v>100216</v>
      </c>
      <c r="B217" s="11" t="inlineStr">
        <is>
          <t>Канада</t>
        </is>
      </c>
      <c r="C217" s="11" t="inlineStr">
        <is>
          <t>PostLink</t>
        </is>
      </c>
      <c r="D217" s="11" t="inlineStr">
        <is>
          <t>PL14185832</t>
        </is>
      </c>
      <c r="E217" s="13" t="n">
        <v>46306</v>
      </c>
      <c r="F217" s="11" t="inlineStr">
        <is>
          <t>In transit</t>
        </is>
      </c>
      <c r="G217" s="13" t="n">
        <v>46309</v>
      </c>
      <c r="H217" s="5">
        <f>IF(G217="","",Rules!$B$1-G217)</f>
        <v/>
      </c>
      <c r="I217" s="5">
        <f>IF(F217="Address issue","address issue",IF(OR(F217="Delivered",F217="Returned to sender",G217=""),"",IF(AND(Rules!$B$3&lt;&gt;"",F217="Held at customs",H217&gt;=Rules!$B$3),"customs &gt;= "&amp;Rules!$B$3&amp;" days",IF(H217&gt;=Rules!$B$2,"idle &gt;= "&amp;Rules!$B$2&amp;" days",""))))</f>
        <v/>
      </c>
      <c r="J217" s="5">
        <f>IF(I217="","",IF(F217="Address issue",0,COUNTIF($I$2:$I$1001,"address issue"))+COUNTIFS($I$2:$I$1001,"?*",$F$2:$F$1001,IF(F217="Address issue","Address issue","&lt;&gt;Address issue"),$H$2:$H$1001,"&gt;"&amp;H217)+1)</f>
        <v/>
      </c>
    </row>
    <row r="218">
      <c r="A218" s="11" t="n">
        <v>100217</v>
      </c>
      <c r="B218" s="11" t="inlineStr">
        <is>
          <t>Мексика</t>
        </is>
      </c>
      <c r="C218" s="11" t="inlineStr">
        <is>
          <t>SwiftParcel</t>
        </is>
      </c>
      <c r="D218" s="11" t="inlineStr">
        <is>
          <t>SP9215714</t>
        </is>
      </c>
      <c r="E218" s="12" t="n">
        <v>46289</v>
      </c>
      <c r="F218" s="11" t="inlineStr">
        <is>
          <t>Delivered</t>
        </is>
      </c>
      <c r="G218" s="12" t="n">
        <v>46300</v>
      </c>
      <c r="H218" s="5">
        <f>IF(G218="","",Rules!$B$1-G218)</f>
        <v/>
      </c>
      <c r="I218" s="5">
        <f>IF(F218="Address issue","address issue",IF(OR(F218="Delivered",F218="Returned to sender",G218=""),"",IF(AND(Rules!$B$3&lt;&gt;"",F218="Held at customs",H218&gt;=Rules!$B$3),"customs &gt;= "&amp;Rules!$B$3&amp;" days",IF(H218&gt;=Rules!$B$2,"idle &gt;= "&amp;Rules!$B$2&amp;" days",""))))</f>
        <v/>
      </c>
      <c r="J218" s="5">
        <f>IF(I218="","",IF(F218="Address issue",0,COUNTIF($I$2:$I$1001,"address issue"))+COUNTIFS($I$2:$I$1001,"?*",$F$2:$F$1001,IF(F218="Address issue","Address issue","&lt;&gt;Address issue"),$H$2:$H$1001,"&gt;"&amp;H218)+1)</f>
        <v/>
      </c>
    </row>
    <row r="219">
      <c r="A219" s="11" t="n">
        <v>100218</v>
      </c>
      <c r="B219" s="11" t="inlineStr">
        <is>
          <t>Канада</t>
        </is>
      </c>
      <c r="C219" s="11" t="inlineStr">
        <is>
          <t>PostLink</t>
        </is>
      </c>
      <c r="D219" s="11" t="inlineStr">
        <is>
          <t>PL83558254</t>
        </is>
      </c>
      <c r="E219" s="12" t="n">
        <v>46285</v>
      </c>
      <c r="F219" s="11" t="inlineStr">
        <is>
          <t>Delivered</t>
        </is>
      </c>
      <c r="G219" s="12" t="n">
        <v>46292</v>
      </c>
      <c r="H219" s="5">
        <f>IF(G219="","",Rules!$B$1-G219)</f>
        <v/>
      </c>
      <c r="I219" s="5">
        <f>IF(F219="Address issue","address issue",IF(OR(F219="Delivered",F219="Returned to sender",G219=""),"",IF(AND(Rules!$B$3&lt;&gt;"",F219="Held at customs",H219&gt;=Rules!$B$3),"customs &gt;= "&amp;Rules!$B$3&amp;" days",IF(H219&gt;=Rules!$B$2,"idle &gt;= "&amp;Rules!$B$2&amp;" days",""))))</f>
        <v/>
      </c>
      <c r="J219" s="5">
        <f>IF(I219="","",IF(F219="Address issue",0,COUNTIF($I$2:$I$1001,"address issue"))+COUNTIFS($I$2:$I$1001,"?*",$F$2:$F$1001,IF(F219="Address issue","Address issue","&lt;&gt;Address issue"),$H$2:$H$1001,"&gt;"&amp;H219)+1)</f>
        <v/>
      </c>
    </row>
    <row r="220">
      <c r="A220" s="11" t="n">
        <v>100219</v>
      </c>
      <c r="B220" s="11" t="inlineStr">
        <is>
          <t>Бразилія</t>
        </is>
      </c>
      <c r="C220" s="11" t="inlineStr">
        <is>
          <t>SwiftParcel</t>
        </is>
      </c>
      <c r="D220" s="11" t="inlineStr">
        <is>
          <t>SP2450068</t>
        </is>
      </c>
      <c r="E220" s="12" t="n">
        <v>46277</v>
      </c>
      <c r="F220" s="11" t="inlineStr">
        <is>
          <t>Delivered</t>
        </is>
      </c>
      <c r="G220" s="12" t="n">
        <v>46284</v>
      </c>
      <c r="H220" s="5">
        <f>IF(G220="","",Rules!$B$1-G220)</f>
        <v/>
      </c>
      <c r="I220" s="5">
        <f>IF(F220="Address issue","address issue",IF(OR(F220="Delivered",F220="Returned to sender",G220=""),"",IF(AND(Rules!$B$3&lt;&gt;"",F220="Held at customs",H220&gt;=Rules!$B$3),"customs &gt;= "&amp;Rules!$B$3&amp;" days",IF(H220&gt;=Rules!$B$2,"idle &gt;= "&amp;Rules!$B$2&amp;" days",""))))</f>
        <v/>
      </c>
      <c r="J220" s="5">
        <f>IF(I220="","",IF(F220="Address issue",0,COUNTIF($I$2:$I$1001,"address issue"))+COUNTIFS($I$2:$I$1001,"?*",$F$2:$F$1001,IF(F220="Address issue","Address issue","&lt;&gt;Address issue"),$H$2:$H$1001,"&gt;"&amp;H220)+1)</f>
        <v/>
      </c>
    </row>
    <row r="221">
      <c r="A221" s="11" t="n">
        <v>100220</v>
      </c>
      <c r="B221" s="11" t="inlineStr">
        <is>
          <t>Мексика</t>
        </is>
      </c>
      <c r="C221" s="11" t="inlineStr">
        <is>
          <t>AndesCargo</t>
        </is>
      </c>
      <c r="D221" s="11" t="inlineStr">
        <is>
          <t>AC96347156</t>
        </is>
      </c>
      <c r="E221" s="12" t="n">
        <v>46291</v>
      </c>
      <c r="F221" s="11" t="inlineStr">
        <is>
          <t>Delivered</t>
        </is>
      </c>
      <c r="G221" s="12" t="n">
        <v>46303</v>
      </c>
      <c r="H221" s="5">
        <f>IF(G221="","",Rules!$B$1-G221)</f>
        <v/>
      </c>
      <c r="I221" s="5">
        <f>IF(F221="Address issue","address issue",IF(OR(F221="Delivered",F221="Returned to sender",G221=""),"",IF(AND(Rules!$B$3&lt;&gt;"",F221="Held at customs",H221&gt;=Rules!$B$3),"customs &gt;= "&amp;Rules!$B$3&amp;" days",IF(H221&gt;=Rules!$B$2,"idle &gt;= "&amp;Rules!$B$2&amp;" days",""))))</f>
        <v/>
      </c>
      <c r="J221" s="5">
        <f>IF(I221="","",IF(F221="Address issue",0,COUNTIF($I$2:$I$1001,"address issue"))+COUNTIFS($I$2:$I$1001,"?*",$F$2:$F$1001,IF(F221="Address issue","Address issue","&lt;&gt;Address issue"),$H$2:$H$1001,"&gt;"&amp;H221)+1)</f>
        <v/>
      </c>
    </row>
    <row r="222">
      <c r="A222" s="11" t="n">
        <v>100221</v>
      </c>
      <c r="B222" s="11" t="inlineStr">
        <is>
          <t>Канада</t>
        </is>
      </c>
      <c r="C222" s="11" t="inlineStr">
        <is>
          <t>PostLink</t>
        </is>
      </c>
      <c r="D222" s="11" t="inlineStr">
        <is>
          <t>PL68622729</t>
        </is>
      </c>
      <c r="E222" s="12" t="n">
        <v>46302</v>
      </c>
      <c r="F222" s="11" t="inlineStr">
        <is>
          <t>Label created</t>
        </is>
      </c>
      <c r="G222" s="12" t="n">
        <v>46302</v>
      </c>
      <c r="H222" s="5">
        <f>IF(G222="","",Rules!$B$1-G222)</f>
        <v/>
      </c>
      <c r="I222" s="5">
        <f>IF(F222="Address issue","address issue",IF(OR(F222="Delivered",F222="Returned to sender",G222=""),"",IF(AND(Rules!$B$3&lt;&gt;"",F222="Held at customs",H222&gt;=Rules!$B$3),"customs &gt;= "&amp;Rules!$B$3&amp;" days",IF(H222&gt;=Rules!$B$2,"idle &gt;= "&amp;Rules!$B$2&amp;" days",""))))</f>
        <v/>
      </c>
      <c r="J222" s="5">
        <f>IF(I222="","",IF(F222="Address issue",0,COUNTIF($I$2:$I$1001,"address issue"))+COUNTIFS($I$2:$I$1001,"?*",$F$2:$F$1001,IF(F222="Address issue","Address issue","&lt;&gt;Address issue"),$H$2:$H$1001,"&gt;"&amp;H222)+1)</f>
        <v/>
      </c>
    </row>
    <row r="223">
      <c r="A223" s="11" t="n">
        <v>100222</v>
      </c>
      <c r="B223" s="11" t="inlineStr">
        <is>
          <t>Мексика</t>
        </is>
      </c>
      <c r="C223" s="11" t="inlineStr">
        <is>
          <t>AndesCargo</t>
        </is>
      </c>
      <c r="D223" s="11" t="inlineStr">
        <is>
          <t>AC79152883</t>
        </is>
      </c>
      <c r="E223" s="12" t="n">
        <v>46295</v>
      </c>
      <c r="F223" s="11" t="inlineStr">
        <is>
          <t>Delivered</t>
        </is>
      </c>
      <c r="G223" s="13" t="n">
        <v>46307</v>
      </c>
      <c r="H223" s="5">
        <f>IF(G223="","",Rules!$B$1-G223)</f>
        <v/>
      </c>
      <c r="I223" s="5">
        <f>IF(F223="Address issue","address issue",IF(OR(F223="Delivered",F223="Returned to sender",G223=""),"",IF(AND(Rules!$B$3&lt;&gt;"",F223="Held at customs",H223&gt;=Rules!$B$3),"customs &gt;= "&amp;Rules!$B$3&amp;" days",IF(H223&gt;=Rules!$B$2,"idle &gt;= "&amp;Rules!$B$2&amp;" days",""))))</f>
        <v/>
      </c>
      <c r="J223" s="5">
        <f>IF(I223="","",IF(F223="Address issue",0,COUNTIF($I$2:$I$1001,"address issue"))+COUNTIFS($I$2:$I$1001,"?*",$F$2:$F$1001,IF(F223="Address issue","Address issue","&lt;&gt;Address issue"),$H$2:$H$1001,"&gt;"&amp;H223)+1)</f>
        <v/>
      </c>
    </row>
    <row r="224">
      <c r="A224" s="11" t="n">
        <v>100223</v>
      </c>
      <c r="B224" s="11" t="inlineStr">
        <is>
          <t>Мексика</t>
        </is>
      </c>
      <c r="C224" s="11" t="inlineStr">
        <is>
          <t>AndesCargo</t>
        </is>
      </c>
      <c r="D224" s="11" t="inlineStr">
        <is>
          <t>AC19167854</t>
        </is>
      </c>
      <c r="E224" s="12" t="n">
        <v>46298</v>
      </c>
      <c r="F224" s="11" t="inlineStr">
        <is>
          <t>Delivered</t>
        </is>
      </c>
      <c r="G224" s="12" t="n">
        <v>46301</v>
      </c>
      <c r="H224" s="5">
        <f>IF(G224="","",Rules!$B$1-G224)</f>
        <v/>
      </c>
      <c r="I224" s="5">
        <f>IF(F224="Address issue","address issue",IF(OR(F224="Delivered",F224="Returned to sender",G224=""),"",IF(AND(Rules!$B$3&lt;&gt;"",F224="Held at customs",H224&gt;=Rules!$B$3),"customs &gt;= "&amp;Rules!$B$3&amp;" days",IF(H224&gt;=Rules!$B$2,"idle &gt;= "&amp;Rules!$B$2&amp;" days",""))))</f>
        <v/>
      </c>
      <c r="J224" s="5">
        <f>IF(I224="","",IF(F224="Address issue",0,COUNTIF($I$2:$I$1001,"address issue"))+COUNTIFS($I$2:$I$1001,"?*",$F$2:$F$1001,IF(F224="Address issue","Address issue","&lt;&gt;Address issue"),$H$2:$H$1001,"&gt;"&amp;H224)+1)</f>
        <v/>
      </c>
    </row>
    <row r="225">
      <c r="A225" s="11" t="n">
        <v>100224</v>
      </c>
      <c r="B225" s="11" t="inlineStr">
        <is>
          <t>Мексика</t>
        </is>
      </c>
      <c r="C225" s="11" t="inlineStr">
        <is>
          <t>AndesCargo</t>
        </is>
      </c>
      <c r="D225" s="11" t="inlineStr">
        <is>
          <t>AC18880730</t>
        </is>
      </c>
      <c r="E225" s="12" t="n">
        <v>46304</v>
      </c>
      <c r="F225" s="11" t="inlineStr">
        <is>
          <t>In transit</t>
        </is>
      </c>
      <c r="G225" s="13" t="n">
        <v>46305</v>
      </c>
      <c r="H225" s="5">
        <f>IF(G225="","",Rules!$B$1-G225)</f>
        <v/>
      </c>
      <c r="I225" s="5">
        <f>IF(F225="Address issue","address issue",IF(OR(F225="Delivered",F225="Returned to sender",G225=""),"",IF(AND(Rules!$B$3&lt;&gt;"",F225="Held at customs",H225&gt;=Rules!$B$3),"customs &gt;= "&amp;Rules!$B$3&amp;" days",IF(H225&gt;=Rules!$B$2,"idle &gt;= "&amp;Rules!$B$2&amp;" days",""))))</f>
        <v/>
      </c>
      <c r="J225" s="5">
        <f>IF(I225="","",IF(F225="Address issue",0,COUNTIF($I$2:$I$1001,"address issue"))+COUNTIFS($I$2:$I$1001,"?*",$F$2:$F$1001,IF(F225="Address issue","Address issue","&lt;&gt;Address issue"),$H$2:$H$1001,"&gt;"&amp;H225)+1)</f>
        <v/>
      </c>
    </row>
    <row r="226">
      <c r="A226" s="11" t="n">
        <v>100225</v>
      </c>
      <c r="B226" s="11" t="inlineStr">
        <is>
          <t>Мексика</t>
        </is>
      </c>
      <c r="C226" s="11" t="inlineStr">
        <is>
          <t>AndesCargo</t>
        </is>
      </c>
      <c r="D226" s="11" t="inlineStr">
        <is>
          <t>AC12514958</t>
        </is>
      </c>
      <c r="E226" s="12" t="n">
        <v>46292</v>
      </c>
      <c r="F226" s="11" t="inlineStr">
        <is>
          <t>Delivered</t>
        </is>
      </c>
      <c r="G226" s="12" t="n">
        <v>46300</v>
      </c>
      <c r="H226" s="5">
        <f>IF(G226="","",Rules!$B$1-G226)</f>
        <v/>
      </c>
      <c r="I226" s="5">
        <f>IF(F226="Address issue","address issue",IF(OR(F226="Delivered",F226="Returned to sender",G226=""),"",IF(AND(Rules!$B$3&lt;&gt;"",F226="Held at customs",H226&gt;=Rules!$B$3),"customs &gt;= "&amp;Rules!$B$3&amp;" days",IF(H226&gt;=Rules!$B$2,"idle &gt;= "&amp;Rules!$B$2&amp;" days",""))))</f>
        <v/>
      </c>
      <c r="J226" s="5">
        <f>IF(I226="","",IF(F226="Address issue",0,COUNTIF($I$2:$I$1001,"address issue"))+COUNTIFS($I$2:$I$1001,"?*",$F$2:$F$1001,IF(F226="Address issue","Address issue","&lt;&gt;Address issue"),$H$2:$H$1001,"&gt;"&amp;H226)+1)</f>
        <v/>
      </c>
    </row>
    <row r="227">
      <c r="A227" s="11" t="n">
        <v>100226</v>
      </c>
      <c r="B227" s="11" t="inlineStr">
        <is>
          <t>Мексика</t>
        </is>
      </c>
      <c r="C227" s="11" t="inlineStr">
        <is>
          <t>AndesCargo</t>
        </is>
      </c>
      <c r="D227" s="11" t="inlineStr">
        <is>
          <t>AC88075876</t>
        </is>
      </c>
      <c r="E227" s="12" t="n">
        <v>46303</v>
      </c>
      <c r="F227" s="11" t="inlineStr">
        <is>
          <t>In transit</t>
        </is>
      </c>
      <c r="G227" s="13" t="n">
        <v>46308</v>
      </c>
      <c r="H227" s="5">
        <f>IF(G227="","",Rules!$B$1-G227)</f>
        <v/>
      </c>
      <c r="I227" s="5">
        <f>IF(F227="Address issue","address issue",IF(OR(F227="Delivered",F227="Returned to sender",G227=""),"",IF(AND(Rules!$B$3&lt;&gt;"",F227="Held at customs",H227&gt;=Rules!$B$3),"customs &gt;= "&amp;Rules!$B$3&amp;" days",IF(H227&gt;=Rules!$B$2,"idle &gt;= "&amp;Rules!$B$2&amp;" days",""))))</f>
        <v/>
      </c>
      <c r="J227" s="5">
        <f>IF(I227="","",IF(F227="Address issue",0,COUNTIF($I$2:$I$1001,"address issue"))+COUNTIFS($I$2:$I$1001,"?*",$F$2:$F$1001,IF(F227="Address issue","Address issue","&lt;&gt;Address issue"),$H$2:$H$1001,"&gt;"&amp;H227)+1)</f>
        <v/>
      </c>
    </row>
    <row r="228">
      <c r="A228" s="11" t="n">
        <v>100227</v>
      </c>
      <c r="B228" s="11" t="inlineStr">
        <is>
          <t>Мексика</t>
        </is>
      </c>
      <c r="C228" s="11" t="inlineStr">
        <is>
          <t>AndesCargo</t>
        </is>
      </c>
      <c r="D228" s="11" t="inlineStr">
        <is>
          <t>AC38286232</t>
        </is>
      </c>
      <c r="E228" s="12" t="n">
        <v>46298</v>
      </c>
      <c r="F228" s="11" t="inlineStr">
        <is>
          <t>Delivered</t>
        </is>
      </c>
      <c r="G228" s="12" t="n">
        <v>46303</v>
      </c>
      <c r="H228" s="5">
        <f>IF(G228="","",Rules!$B$1-G228)</f>
        <v/>
      </c>
      <c r="I228" s="5">
        <f>IF(F228="Address issue","address issue",IF(OR(F228="Delivered",F228="Returned to sender",G228=""),"",IF(AND(Rules!$B$3&lt;&gt;"",F228="Held at customs",H228&gt;=Rules!$B$3),"customs &gt;= "&amp;Rules!$B$3&amp;" days",IF(H228&gt;=Rules!$B$2,"idle &gt;= "&amp;Rules!$B$2&amp;" days",""))))</f>
        <v/>
      </c>
      <c r="J228" s="5">
        <f>IF(I228="","",IF(F228="Address issue",0,COUNTIF($I$2:$I$1001,"address issue"))+COUNTIFS($I$2:$I$1001,"?*",$F$2:$F$1001,IF(F228="Address issue","Address issue","&lt;&gt;Address issue"),$H$2:$H$1001,"&gt;"&amp;H228)+1)</f>
        <v/>
      </c>
    </row>
    <row r="229">
      <c r="A229" s="11" t="n">
        <v>100228</v>
      </c>
      <c r="B229" s="11" t="inlineStr">
        <is>
          <t>Бразилія</t>
        </is>
      </c>
      <c r="C229" s="11" t="inlineStr">
        <is>
          <t>SwiftParcel</t>
        </is>
      </c>
      <c r="D229" s="11" t="inlineStr">
        <is>
          <t>SP1593022</t>
        </is>
      </c>
      <c r="E229" s="12" t="n">
        <v>46283</v>
      </c>
      <c r="F229" s="11" t="inlineStr">
        <is>
          <t>Delivered</t>
        </is>
      </c>
      <c r="G229" s="12" t="n">
        <v>46293</v>
      </c>
      <c r="H229" s="5">
        <f>IF(G229="","",Rules!$B$1-G229)</f>
        <v/>
      </c>
      <c r="I229" s="5">
        <f>IF(F229="Address issue","address issue",IF(OR(F229="Delivered",F229="Returned to sender",G229=""),"",IF(AND(Rules!$B$3&lt;&gt;"",F229="Held at customs",H229&gt;=Rules!$B$3),"customs &gt;= "&amp;Rules!$B$3&amp;" days",IF(H229&gt;=Rules!$B$2,"idle &gt;= "&amp;Rules!$B$2&amp;" days",""))))</f>
        <v/>
      </c>
      <c r="J229" s="5">
        <f>IF(I229="","",IF(F229="Address issue",0,COUNTIF($I$2:$I$1001,"address issue"))+COUNTIFS($I$2:$I$1001,"?*",$F$2:$F$1001,IF(F229="Address issue","Address issue","&lt;&gt;Address issue"),$H$2:$H$1001,"&gt;"&amp;H229)+1)</f>
        <v/>
      </c>
    </row>
    <row r="230">
      <c r="A230" s="11" t="n">
        <v>100229</v>
      </c>
      <c r="B230" s="11" t="inlineStr">
        <is>
          <t>Мексика</t>
        </is>
      </c>
      <c r="C230" s="11" t="inlineStr">
        <is>
          <t>AndesCargo</t>
        </is>
      </c>
      <c r="D230" s="11" t="inlineStr">
        <is>
          <t>AC34836701</t>
        </is>
      </c>
      <c r="E230" s="12" t="n">
        <v>46298</v>
      </c>
      <c r="F230" s="11" t="inlineStr">
        <is>
          <t>Delivered</t>
        </is>
      </c>
      <c r="G230" s="13" t="n">
        <v>46310</v>
      </c>
      <c r="H230" s="5">
        <f>IF(G230="","",Rules!$B$1-G230)</f>
        <v/>
      </c>
      <c r="I230" s="5">
        <f>IF(F230="Address issue","address issue",IF(OR(F230="Delivered",F230="Returned to sender",G230=""),"",IF(AND(Rules!$B$3&lt;&gt;"",F230="Held at customs",H230&gt;=Rules!$B$3),"customs &gt;= "&amp;Rules!$B$3&amp;" days",IF(H230&gt;=Rules!$B$2,"idle &gt;= "&amp;Rules!$B$2&amp;" days",""))))</f>
        <v/>
      </c>
      <c r="J230" s="5">
        <f>IF(I230="","",IF(F230="Address issue",0,COUNTIF($I$2:$I$1001,"address issue"))+COUNTIFS($I$2:$I$1001,"?*",$F$2:$F$1001,IF(F230="Address issue","Address issue","&lt;&gt;Address issue"),$H$2:$H$1001,"&gt;"&amp;H230)+1)</f>
        <v/>
      </c>
    </row>
    <row r="231">
      <c r="A231" s="11" t="n">
        <v>100230</v>
      </c>
      <c r="B231" s="11" t="inlineStr">
        <is>
          <t>Мексика</t>
        </is>
      </c>
      <c r="C231" s="11" t="inlineStr">
        <is>
          <t>AndesCargo</t>
        </is>
      </c>
      <c r="D231" s="11" t="inlineStr">
        <is>
          <t>AC40184627</t>
        </is>
      </c>
      <c r="E231" s="12" t="n">
        <v>46299</v>
      </c>
      <c r="F231" s="11" t="inlineStr">
        <is>
          <t>Delivered</t>
        </is>
      </c>
      <c r="G231" s="13" t="n">
        <v>46305</v>
      </c>
      <c r="H231" s="5">
        <f>IF(G231="","",Rules!$B$1-G231)</f>
        <v/>
      </c>
      <c r="I231" s="5">
        <f>IF(F231="Address issue","address issue",IF(OR(F231="Delivered",F231="Returned to sender",G231=""),"",IF(AND(Rules!$B$3&lt;&gt;"",F231="Held at customs",H231&gt;=Rules!$B$3),"customs &gt;= "&amp;Rules!$B$3&amp;" days",IF(H231&gt;=Rules!$B$2,"idle &gt;= "&amp;Rules!$B$2&amp;" days",""))))</f>
        <v/>
      </c>
      <c r="J231" s="5">
        <f>IF(I231="","",IF(F231="Address issue",0,COUNTIF($I$2:$I$1001,"address issue"))+COUNTIFS($I$2:$I$1001,"?*",$F$2:$F$1001,IF(F231="Address issue","Address issue","&lt;&gt;Address issue"),$H$2:$H$1001,"&gt;"&amp;H231)+1)</f>
        <v/>
      </c>
    </row>
    <row r="232">
      <c r="A232" s="11" t="n">
        <v>100231</v>
      </c>
      <c r="B232" s="11" t="inlineStr">
        <is>
          <t>Бразилія</t>
        </is>
      </c>
      <c r="C232" s="11" t="inlineStr">
        <is>
          <t>SwiftParcel</t>
        </is>
      </c>
      <c r="D232" s="11" t="inlineStr">
        <is>
          <t>SP6265681</t>
        </is>
      </c>
      <c r="E232" s="13" t="n">
        <v>46308</v>
      </c>
      <c r="F232" s="11" t="inlineStr">
        <is>
          <t>Address issue</t>
        </is>
      </c>
      <c r="G232" s="13" t="n">
        <v>46309</v>
      </c>
      <c r="H232" s="5">
        <f>IF(G232="","",Rules!$B$1-G232)</f>
        <v/>
      </c>
      <c r="I232" s="5">
        <f>IF(F232="Address issue","address issue",IF(OR(F232="Delivered",F232="Returned to sender",G232=""),"",IF(AND(Rules!$B$3&lt;&gt;"",F232="Held at customs",H232&gt;=Rules!$B$3),"customs &gt;= "&amp;Rules!$B$3&amp;" days",IF(H232&gt;=Rules!$B$2,"idle &gt;= "&amp;Rules!$B$2&amp;" days",""))))</f>
        <v/>
      </c>
      <c r="J232" s="5">
        <f>IF(I232="","",IF(F232="Address issue",0,COUNTIF($I$2:$I$1001,"address issue"))+COUNTIFS($I$2:$I$1001,"?*",$F$2:$F$1001,IF(F232="Address issue","Address issue","&lt;&gt;Address issue"),$H$2:$H$1001,"&gt;"&amp;H232)+1)</f>
        <v/>
      </c>
    </row>
    <row r="233">
      <c r="A233" s="11" t="n">
        <v>100232</v>
      </c>
      <c r="B233" s="11" t="inlineStr">
        <is>
          <t>Бразилія</t>
        </is>
      </c>
      <c r="C233" s="11" t="inlineStr">
        <is>
          <t>AndesCargo</t>
        </is>
      </c>
      <c r="D233" s="11" t="inlineStr">
        <is>
          <t>AC30140268</t>
        </is>
      </c>
      <c r="E233" s="12" t="n">
        <v>46274</v>
      </c>
      <c r="F233" s="11" t="inlineStr">
        <is>
          <t>Delivered</t>
        </is>
      </c>
      <c r="G233" s="12" t="n">
        <v>46284</v>
      </c>
      <c r="H233" s="5">
        <f>IF(G233="","",Rules!$B$1-G233)</f>
        <v/>
      </c>
      <c r="I233" s="5">
        <f>IF(F233="Address issue","address issue",IF(OR(F233="Delivered",F233="Returned to sender",G233=""),"",IF(AND(Rules!$B$3&lt;&gt;"",F233="Held at customs",H233&gt;=Rules!$B$3),"customs &gt;= "&amp;Rules!$B$3&amp;" days",IF(H233&gt;=Rules!$B$2,"idle &gt;= "&amp;Rules!$B$2&amp;" days",""))))</f>
        <v/>
      </c>
      <c r="J233" s="5">
        <f>IF(I233="","",IF(F233="Address issue",0,COUNTIF($I$2:$I$1001,"address issue"))+COUNTIFS($I$2:$I$1001,"?*",$F$2:$F$1001,IF(F233="Address issue","Address issue","&lt;&gt;Address issue"),$H$2:$H$1001,"&gt;"&amp;H233)+1)</f>
        <v/>
      </c>
    </row>
    <row r="234">
      <c r="A234" s="11" t="n">
        <v>100233</v>
      </c>
      <c r="B234" s="11" t="inlineStr">
        <is>
          <t>Бразилія</t>
        </is>
      </c>
      <c r="C234" s="11" t="inlineStr">
        <is>
          <t>SwiftParcel</t>
        </is>
      </c>
      <c r="D234" s="11" t="inlineStr">
        <is>
          <t>SP8424283</t>
        </is>
      </c>
      <c r="E234" s="13" t="n">
        <v>46308</v>
      </c>
      <c r="F234" s="11" t="inlineStr">
        <is>
          <t>In transit</t>
        </is>
      </c>
      <c r="G234" s="13" t="n">
        <v>46310</v>
      </c>
      <c r="H234" s="5">
        <f>IF(G234="","",Rules!$B$1-G234)</f>
        <v/>
      </c>
      <c r="I234" s="5">
        <f>IF(F234="Address issue","address issue",IF(OR(F234="Delivered",F234="Returned to sender",G234=""),"",IF(AND(Rules!$B$3&lt;&gt;"",F234="Held at customs",H234&gt;=Rules!$B$3),"customs &gt;= "&amp;Rules!$B$3&amp;" days",IF(H234&gt;=Rules!$B$2,"idle &gt;= "&amp;Rules!$B$2&amp;" days",""))))</f>
        <v/>
      </c>
      <c r="J234" s="5">
        <f>IF(I234="","",IF(F234="Address issue",0,COUNTIF($I$2:$I$1001,"address issue"))+COUNTIFS($I$2:$I$1001,"?*",$F$2:$F$1001,IF(F234="Address issue","Address issue","&lt;&gt;Address issue"),$H$2:$H$1001,"&gt;"&amp;H234)+1)</f>
        <v/>
      </c>
    </row>
    <row r="235">
      <c r="A235" s="11" t="n">
        <v>100234</v>
      </c>
      <c r="B235" s="11" t="inlineStr">
        <is>
          <t>Мексика</t>
        </is>
      </c>
      <c r="C235" s="11" t="inlineStr">
        <is>
          <t>AndesCargo</t>
        </is>
      </c>
      <c r="D235" s="11" t="inlineStr">
        <is>
          <t>AC17710709</t>
        </is>
      </c>
      <c r="E235" s="12" t="n">
        <v>46301</v>
      </c>
      <c r="F235" s="11" t="inlineStr">
        <is>
          <t>Delivered</t>
        </is>
      </c>
      <c r="G235" s="13" t="n">
        <v>46305</v>
      </c>
      <c r="H235" s="5">
        <f>IF(G235="","",Rules!$B$1-G235)</f>
        <v/>
      </c>
      <c r="I235" s="5">
        <f>IF(F235="Address issue","address issue",IF(OR(F235="Delivered",F235="Returned to sender",G235=""),"",IF(AND(Rules!$B$3&lt;&gt;"",F235="Held at customs",H235&gt;=Rules!$B$3),"customs &gt;= "&amp;Rules!$B$3&amp;" days",IF(H235&gt;=Rules!$B$2,"idle &gt;= "&amp;Rules!$B$2&amp;" days",""))))</f>
        <v/>
      </c>
      <c r="J235" s="5">
        <f>IF(I235="","",IF(F235="Address issue",0,COUNTIF($I$2:$I$1001,"address issue"))+COUNTIFS($I$2:$I$1001,"?*",$F$2:$F$1001,IF(F235="Address issue","Address issue","&lt;&gt;Address issue"),$H$2:$H$1001,"&gt;"&amp;H235)+1)</f>
        <v/>
      </c>
    </row>
    <row r="236">
      <c r="A236" s="11" t="n">
        <v>100235</v>
      </c>
      <c r="B236" s="11" t="inlineStr">
        <is>
          <t>Канада</t>
        </is>
      </c>
      <c r="C236" s="11" t="inlineStr">
        <is>
          <t>PostLink</t>
        </is>
      </c>
      <c r="D236" s="11" t="inlineStr">
        <is>
          <t>PL48401223</t>
        </is>
      </c>
      <c r="E236" s="12" t="n">
        <v>46300</v>
      </c>
      <c r="F236" s="11" t="inlineStr">
        <is>
          <t>In transit</t>
        </is>
      </c>
      <c r="G236" s="12" t="n">
        <v>46304</v>
      </c>
      <c r="H236" s="5">
        <f>IF(G236="","",Rules!$B$1-G236)</f>
        <v/>
      </c>
      <c r="I236" s="5">
        <f>IF(F236="Address issue","address issue",IF(OR(F236="Delivered",F236="Returned to sender",G236=""),"",IF(AND(Rules!$B$3&lt;&gt;"",F236="Held at customs",H236&gt;=Rules!$B$3),"customs &gt;= "&amp;Rules!$B$3&amp;" days",IF(H236&gt;=Rules!$B$2,"idle &gt;= "&amp;Rules!$B$2&amp;" days",""))))</f>
        <v/>
      </c>
      <c r="J236" s="5">
        <f>IF(I236="","",IF(F236="Address issue",0,COUNTIF($I$2:$I$1001,"address issue"))+COUNTIFS($I$2:$I$1001,"?*",$F$2:$F$1001,IF(F236="Address issue","Address issue","&lt;&gt;Address issue"),$H$2:$H$1001,"&gt;"&amp;H236)+1)</f>
        <v/>
      </c>
    </row>
    <row r="237">
      <c r="A237" s="11" t="n">
        <v>100236</v>
      </c>
      <c r="B237" s="11" t="inlineStr">
        <is>
          <t>Канада</t>
        </is>
      </c>
      <c r="C237" s="11" t="inlineStr">
        <is>
          <t>PostLink</t>
        </is>
      </c>
      <c r="D237" s="11" t="inlineStr">
        <is>
          <t>PL14330267</t>
        </is>
      </c>
      <c r="E237" s="12" t="n">
        <v>46277</v>
      </c>
      <c r="F237" s="11" t="inlineStr">
        <is>
          <t>Delivered</t>
        </is>
      </c>
      <c r="G237" s="12" t="n">
        <v>46283</v>
      </c>
      <c r="H237" s="5">
        <f>IF(G237="","",Rules!$B$1-G237)</f>
        <v/>
      </c>
      <c r="I237" s="5">
        <f>IF(F237="Address issue","address issue",IF(OR(F237="Delivered",F237="Returned to sender",G237=""),"",IF(AND(Rules!$B$3&lt;&gt;"",F237="Held at customs",H237&gt;=Rules!$B$3),"customs &gt;= "&amp;Rules!$B$3&amp;" days",IF(H237&gt;=Rules!$B$2,"idle &gt;= "&amp;Rules!$B$2&amp;" days",""))))</f>
        <v/>
      </c>
      <c r="J237" s="5">
        <f>IF(I237="","",IF(F237="Address issue",0,COUNTIF($I$2:$I$1001,"address issue"))+COUNTIFS($I$2:$I$1001,"?*",$F$2:$F$1001,IF(F237="Address issue","Address issue","&lt;&gt;Address issue"),$H$2:$H$1001,"&gt;"&amp;H237)+1)</f>
        <v/>
      </c>
    </row>
    <row r="238">
      <c r="A238" s="11" t="n">
        <v>100237</v>
      </c>
      <c r="B238" s="11" t="inlineStr">
        <is>
          <t>Мексика</t>
        </is>
      </c>
      <c r="C238" s="11" t="inlineStr">
        <is>
          <t>AndesCargo</t>
        </is>
      </c>
      <c r="D238" s="11" t="inlineStr">
        <is>
          <t>AC98524103</t>
        </is>
      </c>
      <c r="E238" s="12" t="n">
        <v>46300</v>
      </c>
      <c r="F238" s="11" t="inlineStr">
        <is>
          <t>In transit</t>
        </is>
      </c>
      <c r="G238" s="13" t="n">
        <v>46308</v>
      </c>
      <c r="H238" s="5">
        <f>IF(G238="","",Rules!$B$1-G238)</f>
        <v/>
      </c>
      <c r="I238" s="5">
        <f>IF(F238="Address issue","address issue",IF(OR(F238="Delivered",F238="Returned to sender",G238=""),"",IF(AND(Rules!$B$3&lt;&gt;"",F238="Held at customs",H238&gt;=Rules!$B$3),"customs &gt;= "&amp;Rules!$B$3&amp;" days",IF(H238&gt;=Rules!$B$2,"idle &gt;= "&amp;Rules!$B$2&amp;" days",""))))</f>
        <v/>
      </c>
      <c r="J238" s="5">
        <f>IF(I238="","",IF(F238="Address issue",0,COUNTIF($I$2:$I$1001,"address issue"))+COUNTIFS($I$2:$I$1001,"?*",$F$2:$F$1001,IF(F238="Address issue","Address issue","&lt;&gt;Address issue"),$H$2:$H$1001,"&gt;"&amp;H238)+1)</f>
        <v/>
      </c>
    </row>
    <row r="239">
      <c r="A239" s="11" t="n">
        <v>100238</v>
      </c>
      <c r="B239" s="11" t="inlineStr">
        <is>
          <t>Бразилія</t>
        </is>
      </c>
      <c r="C239" s="11" t="inlineStr">
        <is>
          <t>AndesCargo</t>
        </is>
      </c>
      <c r="D239" s="11" t="inlineStr">
        <is>
          <t>AC21996188</t>
        </is>
      </c>
      <c r="E239" s="12" t="n">
        <v>46280</v>
      </c>
      <c r="F239" s="11" t="inlineStr">
        <is>
          <t>Delivered</t>
        </is>
      </c>
      <c r="G239" s="12" t="n">
        <v>46289</v>
      </c>
      <c r="H239" s="5">
        <f>IF(G239="","",Rules!$B$1-G239)</f>
        <v/>
      </c>
      <c r="I239" s="5">
        <f>IF(F239="Address issue","address issue",IF(OR(F239="Delivered",F239="Returned to sender",G239=""),"",IF(AND(Rules!$B$3&lt;&gt;"",F239="Held at customs",H239&gt;=Rules!$B$3),"customs &gt;= "&amp;Rules!$B$3&amp;" days",IF(H239&gt;=Rules!$B$2,"idle &gt;= "&amp;Rules!$B$2&amp;" days",""))))</f>
        <v/>
      </c>
      <c r="J239" s="5">
        <f>IF(I239="","",IF(F239="Address issue",0,COUNTIF($I$2:$I$1001,"address issue"))+COUNTIFS($I$2:$I$1001,"?*",$F$2:$F$1001,IF(F239="Address issue","Address issue","&lt;&gt;Address issue"),$H$2:$H$1001,"&gt;"&amp;H239)+1)</f>
        <v/>
      </c>
    </row>
    <row r="240">
      <c r="A240" s="11" t="n">
        <v>100239</v>
      </c>
      <c r="B240" s="11" t="inlineStr">
        <is>
          <t>Канада</t>
        </is>
      </c>
      <c r="C240" s="11" t="inlineStr">
        <is>
          <t>PostLink</t>
        </is>
      </c>
      <c r="D240" s="11" t="inlineStr">
        <is>
          <t>PL56131313</t>
        </is>
      </c>
      <c r="E240" s="12" t="n">
        <v>46274</v>
      </c>
      <c r="F240" s="11" t="inlineStr">
        <is>
          <t>Delivered</t>
        </is>
      </c>
      <c r="G240" s="12" t="n">
        <v>46284</v>
      </c>
      <c r="H240" s="5">
        <f>IF(G240="","",Rules!$B$1-G240)</f>
        <v/>
      </c>
      <c r="I240" s="5">
        <f>IF(F240="Address issue","address issue",IF(OR(F240="Delivered",F240="Returned to sender",G240=""),"",IF(AND(Rules!$B$3&lt;&gt;"",F240="Held at customs",H240&gt;=Rules!$B$3),"customs &gt;= "&amp;Rules!$B$3&amp;" days",IF(H240&gt;=Rules!$B$2,"idle &gt;= "&amp;Rules!$B$2&amp;" days",""))))</f>
        <v/>
      </c>
      <c r="J240" s="5">
        <f>IF(I240="","",IF(F240="Address issue",0,COUNTIF($I$2:$I$1001,"address issue"))+COUNTIFS($I$2:$I$1001,"?*",$F$2:$F$1001,IF(F240="Address issue","Address issue","&lt;&gt;Address issue"),$H$2:$H$1001,"&gt;"&amp;H240)+1)</f>
        <v/>
      </c>
    </row>
    <row r="241">
      <c r="A241" s="11" t="n">
        <v>100240</v>
      </c>
      <c r="B241" s="11" t="inlineStr">
        <is>
          <t>Бразилія</t>
        </is>
      </c>
      <c r="C241" s="11" t="inlineStr">
        <is>
          <t>AndesCargo</t>
        </is>
      </c>
      <c r="D241" s="11" t="inlineStr">
        <is>
          <t>AC47167418</t>
        </is>
      </c>
      <c r="E241" s="12" t="n">
        <v>46295</v>
      </c>
      <c r="F241" s="11" t="inlineStr">
        <is>
          <t>In transit</t>
        </is>
      </c>
      <c r="G241" s="12" t="n">
        <v>46302</v>
      </c>
      <c r="H241" s="5">
        <f>IF(G241="","",Rules!$B$1-G241)</f>
        <v/>
      </c>
      <c r="I241" s="5">
        <f>IF(F241="Address issue","address issue",IF(OR(F241="Delivered",F241="Returned to sender",G241=""),"",IF(AND(Rules!$B$3&lt;&gt;"",F241="Held at customs",H241&gt;=Rules!$B$3),"customs &gt;= "&amp;Rules!$B$3&amp;" days",IF(H241&gt;=Rules!$B$2,"idle &gt;= "&amp;Rules!$B$2&amp;" days",""))))</f>
        <v/>
      </c>
      <c r="J241" s="5">
        <f>IF(I241="","",IF(F241="Address issue",0,COUNTIF($I$2:$I$1001,"address issue"))+COUNTIFS($I$2:$I$1001,"?*",$F$2:$F$1001,IF(F241="Address issue","Address issue","&lt;&gt;Address issue"),$H$2:$H$1001,"&gt;"&amp;H241)+1)</f>
        <v/>
      </c>
    </row>
    <row r="242">
      <c r="A242" s="11" t="n">
        <v>100241</v>
      </c>
      <c r="B242" s="11" t="inlineStr">
        <is>
          <t>Канада</t>
        </is>
      </c>
      <c r="C242" s="11" t="inlineStr">
        <is>
          <t>PostLink</t>
        </is>
      </c>
      <c r="D242" s="11" t="inlineStr">
        <is>
          <t>PL64929513</t>
        </is>
      </c>
      <c r="E242" s="12" t="n">
        <v>46298</v>
      </c>
      <c r="F242" s="11" t="inlineStr">
        <is>
          <t>Out for delivery</t>
        </is>
      </c>
      <c r="G242" s="12" t="n">
        <v>46304</v>
      </c>
      <c r="H242" s="5">
        <f>IF(G242="","",Rules!$B$1-G242)</f>
        <v/>
      </c>
      <c r="I242" s="5">
        <f>IF(F242="Address issue","address issue",IF(OR(F242="Delivered",F242="Returned to sender",G242=""),"",IF(AND(Rules!$B$3&lt;&gt;"",F242="Held at customs",H242&gt;=Rules!$B$3),"customs &gt;= "&amp;Rules!$B$3&amp;" days",IF(H242&gt;=Rules!$B$2,"idle &gt;= "&amp;Rules!$B$2&amp;" days",""))))</f>
        <v/>
      </c>
      <c r="J242" s="5">
        <f>IF(I242="","",IF(F242="Address issue",0,COUNTIF($I$2:$I$1001,"address issue"))+COUNTIFS($I$2:$I$1001,"?*",$F$2:$F$1001,IF(F242="Address issue","Address issue","&lt;&gt;Address issue"),$H$2:$H$1001,"&gt;"&amp;H242)+1)</f>
        <v/>
      </c>
    </row>
    <row r="243">
      <c r="A243" s="11" t="n">
        <v>100242</v>
      </c>
      <c r="B243" s="11" t="inlineStr">
        <is>
          <t>Канада</t>
        </is>
      </c>
      <c r="C243" s="11" t="inlineStr">
        <is>
          <t>PostLink</t>
        </is>
      </c>
      <c r="D243" s="11" t="inlineStr">
        <is>
          <t>PL78617139</t>
        </is>
      </c>
      <c r="E243" s="12" t="n">
        <v>46288</v>
      </c>
      <c r="F243" s="11" t="inlineStr">
        <is>
          <t>Delivered</t>
        </is>
      </c>
      <c r="G243" s="12" t="n">
        <v>46298</v>
      </c>
      <c r="H243" s="5">
        <f>IF(G243="","",Rules!$B$1-G243)</f>
        <v/>
      </c>
      <c r="I243" s="5">
        <f>IF(F243="Address issue","address issue",IF(OR(F243="Delivered",F243="Returned to sender",G243=""),"",IF(AND(Rules!$B$3&lt;&gt;"",F243="Held at customs",H243&gt;=Rules!$B$3),"customs &gt;= "&amp;Rules!$B$3&amp;" days",IF(H243&gt;=Rules!$B$2,"idle &gt;= "&amp;Rules!$B$2&amp;" days",""))))</f>
        <v/>
      </c>
      <c r="J243" s="5">
        <f>IF(I243="","",IF(F243="Address issue",0,COUNTIF($I$2:$I$1001,"address issue"))+COUNTIFS($I$2:$I$1001,"?*",$F$2:$F$1001,IF(F243="Address issue","Address issue","&lt;&gt;Address issue"),$H$2:$H$1001,"&gt;"&amp;H243)+1)</f>
        <v/>
      </c>
    </row>
    <row r="244">
      <c r="A244" s="11" t="n">
        <v>100243</v>
      </c>
      <c r="B244" s="11" t="inlineStr">
        <is>
          <t>Канада</t>
        </is>
      </c>
      <c r="C244" s="11" t="inlineStr">
        <is>
          <t>PostLink</t>
        </is>
      </c>
      <c r="D244" s="11" t="inlineStr">
        <is>
          <t>PL86076643</t>
        </is>
      </c>
      <c r="E244" s="12" t="n">
        <v>46298</v>
      </c>
      <c r="F244" s="11" t="inlineStr">
        <is>
          <t>Delivered</t>
        </is>
      </c>
      <c r="G244" s="13" t="n">
        <v>46305</v>
      </c>
      <c r="H244" s="5">
        <f>IF(G244="","",Rules!$B$1-G244)</f>
        <v/>
      </c>
      <c r="I244" s="5">
        <f>IF(F244="Address issue","address issue",IF(OR(F244="Delivered",F244="Returned to sender",G244=""),"",IF(AND(Rules!$B$3&lt;&gt;"",F244="Held at customs",H244&gt;=Rules!$B$3),"customs &gt;= "&amp;Rules!$B$3&amp;" days",IF(H244&gt;=Rules!$B$2,"idle &gt;= "&amp;Rules!$B$2&amp;" days",""))))</f>
        <v/>
      </c>
      <c r="J244" s="5">
        <f>IF(I244="","",IF(F244="Address issue",0,COUNTIF($I$2:$I$1001,"address issue"))+COUNTIFS($I$2:$I$1001,"?*",$F$2:$F$1001,IF(F244="Address issue","Address issue","&lt;&gt;Address issue"),$H$2:$H$1001,"&gt;"&amp;H244)+1)</f>
        <v/>
      </c>
    </row>
    <row r="245">
      <c r="A245" s="11" t="n">
        <v>100244</v>
      </c>
      <c r="B245" s="11" t="inlineStr">
        <is>
          <t>Канада</t>
        </is>
      </c>
      <c r="C245" s="11" t="inlineStr">
        <is>
          <t>PostLink</t>
        </is>
      </c>
      <c r="D245" s="11" t="inlineStr">
        <is>
          <t>PL32405094</t>
        </is>
      </c>
      <c r="E245" s="12" t="n">
        <v>46282</v>
      </c>
      <c r="F245" s="11" t="inlineStr">
        <is>
          <t>Delivered</t>
        </is>
      </c>
      <c r="G245" s="12" t="n">
        <v>46287</v>
      </c>
      <c r="H245" s="5">
        <f>IF(G245="","",Rules!$B$1-G245)</f>
        <v/>
      </c>
      <c r="I245" s="5">
        <f>IF(F245="Address issue","address issue",IF(OR(F245="Delivered",F245="Returned to sender",G245=""),"",IF(AND(Rules!$B$3&lt;&gt;"",F245="Held at customs",H245&gt;=Rules!$B$3),"customs &gt;= "&amp;Rules!$B$3&amp;" days",IF(H245&gt;=Rules!$B$2,"idle &gt;= "&amp;Rules!$B$2&amp;" days",""))))</f>
        <v/>
      </c>
      <c r="J245" s="5">
        <f>IF(I245="","",IF(F245="Address issue",0,COUNTIF($I$2:$I$1001,"address issue"))+COUNTIFS($I$2:$I$1001,"?*",$F$2:$F$1001,IF(F245="Address issue","Address issue","&lt;&gt;Address issue"),$H$2:$H$1001,"&gt;"&amp;H245)+1)</f>
        <v/>
      </c>
    </row>
    <row r="246">
      <c r="A246" s="11" t="n">
        <v>100245</v>
      </c>
      <c r="B246" s="11" t="inlineStr">
        <is>
          <t>Мексика</t>
        </is>
      </c>
      <c r="C246" s="11" t="inlineStr">
        <is>
          <t>AndesCargo</t>
        </is>
      </c>
      <c r="D246" s="11" t="inlineStr">
        <is>
          <t>AC41598661</t>
        </is>
      </c>
      <c r="E246" s="12" t="n">
        <v>46297</v>
      </c>
      <c r="F246" s="11" t="inlineStr">
        <is>
          <t>In transit</t>
        </is>
      </c>
      <c r="G246" s="12" t="n">
        <v>46302</v>
      </c>
      <c r="H246" s="5">
        <f>IF(G246="","",Rules!$B$1-G246)</f>
        <v/>
      </c>
      <c r="I246" s="5">
        <f>IF(F246="Address issue","address issue",IF(OR(F246="Delivered",F246="Returned to sender",G246=""),"",IF(AND(Rules!$B$3&lt;&gt;"",F246="Held at customs",H246&gt;=Rules!$B$3),"customs &gt;= "&amp;Rules!$B$3&amp;" days",IF(H246&gt;=Rules!$B$2,"idle &gt;= "&amp;Rules!$B$2&amp;" days",""))))</f>
        <v/>
      </c>
      <c r="J246" s="5">
        <f>IF(I246="","",IF(F246="Address issue",0,COUNTIF($I$2:$I$1001,"address issue"))+COUNTIFS($I$2:$I$1001,"?*",$F$2:$F$1001,IF(F246="Address issue","Address issue","&lt;&gt;Address issue"),$H$2:$H$1001,"&gt;"&amp;H246)+1)</f>
        <v/>
      </c>
    </row>
    <row r="247">
      <c r="A247" s="11" t="n">
        <v>100246</v>
      </c>
      <c r="B247" s="11" t="inlineStr">
        <is>
          <t>Мексика</t>
        </is>
      </c>
      <c r="C247" s="11" t="inlineStr">
        <is>
          <t>AndesCargo</t>
        </is>
      </c>
      <c r="D247" s="11" t="inlineStr">
        <is>
          <t>AC51572642</t>
        </is>
      </c>
      <c r="E247" s="12" t="n">
        <v>46292</v>
      </c>
      <c r="F247" s="11" t="inlineStr">
        <is>
          <t>Delivered</t>
        </is>
      </c>
      <c r="G247" s="12" t="n">
        <v>46302</v>
      </c>
      <c r="H247" s="5">
        <f>IF(G247="","",Rules!$B$1-G247)</f>
        <v/>
      </c>
      <c r="I247" s="5">
        <f>IF(F247="Address issue","address issue",IF(OR(F247="Delivered",F247="Returned to sender",G247=""),"",IF(AND(Rules!$B$3&lt;&gt;"",F247="Held at customs",H247&gt;=Rules!$B$3),"customs &gt;= "&amp;Rules!$B$3&amp;" days",IF(H247&gt;=Rules!$B$2,"idle &gt;= "&amp;Rules!$B$2&amp;" days",""))))</f>
        <v/>
      </c>
      <c r="J247" s="5">
        <f>IF(I247="","",IF(F247="Address issue",0,COUNTIF($I$2:$I$1001,"address issue"))+COUNTIFS($I$2:$I$1001,"?*",$F$2:$F$1001,IF(F247="Address issue","Address issue","&lt;&gt;Address issue"),$H$2:$H$1001,"&gt;"&amp;H247)+1)</f>
        <v/>
      </c>
    </row>
    <row r="248">
      <c r="A248" s="11" t="n">
        <v>100247</v>
      </c>
      <c r="B248" s="11" t="inlineStr">
        <is>
          <t>Мексика</t>
        </is>
      </c>
      <c r="C248" s="11" t="inlineStr">
        <is>
          <t>AndesCargo</t>
        </is>
      </c>
      <c r="D248" s="11" t="inlineStr">
        <is>
          <t>AC24418149</t>
        </is>
      </c>
      <c r="E248" s="12" t="n">
        <v>46289</v>
      </c>
      <c r="F248" s="11" t="inlineStr">
        <is>
          <t>Delivered</t>
        </is>
      </c>
      <c r="G248" s="12" t="n">
        <v>46299</v>
      </c>
      <c r="H248" s="5">
        <f>IF(G248="","",Rules!$B$1-G248)</f>
        <v/>
      </c>
      <c r="I248" s="5">
        <f>IF(F248="Address issue","address issue",IF(OR(F248="Delivered",F248="Returned to sender",G248=""),"",IF(AND(Rules!$B$3&lt;&gt;"",F248="Held at customs",H248&gt;=Rules!$B$3),"customs &gt;= "&amp;Rules!$B$3&amp;" days",IF(H248&gt;=Rules!$B$2,"idle &gt;= "&amp;Rules!$B$2&amp;" days",""))))</f>
        <v/>
      </c>
      <c r="J248" s="5">
        <f>IF(I248="","",IF(F248="Address issue",0,COUNTIF($I$2:$I$1001,"address issue"))+COUNTIFS($I$2:$I$1001,"?*",$F$2:$F$1001,IF(F248="Address issue","Address issue","&lt;&gt;Address issue"),$H$2:$H$1001,"&gt;"&amp;H248)+1)</f>
        <v/>
      </c>
    </row>
    <row r="249">
      <c r="A249" s="11" t="n">
        <v>100248</v>
      </c>
      <c r="B249" s="11" t="inlineStr">
        <is>
          <t>Канада</t>
        </is>
      </c>
      <c r="C249" s="11" t="inlineStr">
        <is>
          <t>PostLink</t>
        </is>
      </c>
      <c r="D249" s="11" t="inlineStr">
        <is>
          <t>PL81753670</t>
        </is>
      </c>
      <c r="E249" s="12" t="n">
        <v>46293</v>
      </c>
      <c r="F249" s="11" t="inlineStr">
        <is>
          <t>In transit</t>
        </is>
      </c>
      <c r="G249" s="12" t="n">
        <v>46301</v>
      </c>
      <c r="H249" s="5">
        <f>IF(G249="","",Rules!$B$1-G249)</f>
        <v/>
      </c>
      <c r="I249" s="5">
        <f>IF(F249="Address issue","address issue",IF(OR(F249="Delivered",F249="Returned to sender",G249=""),"",IF(AND(Rules!$B$3&lt;&gt;"",F249="Held at customs",H249&gt;=Rules!$B$3),"customs &gt;= "&amp;Rules!$B$3&amp;" days",IF(H249&gt;=Rules!$B$2,"idle &gt;= "&amp;Rules!$B$2&amp;" days",""))))</f>
        <v/>
      </c>
      <c r="J249" s="5">
        <f>IF(I249="","",IF(F249="Address issue",0,COUNTIF($I$2:$I$1001,"address issue"))+COUNTIFS($I$2:$I$1001,"?*",$F$2:$F$1001,IF(F249="Address issue","Address issue","&lt;&gt;Address issue"),$H$2:$H$1001,"&gt;"&amp;H249)+1)</f>
        <v/>
      </c>
    </row>
    <row r="250">
      <c r="A250" s="11" t="n">
        <v>100249</v>
      </c>
      <c r="B250" s="11" t="inlineStr">
        <is>
          <t>Канада</t>
        </is>
      </c>
      <c r="C250" s="11" t="inlineStr">
        <is>
          <t>PostLink</t>
        </is>
      </c>
      <c r="D250" s="11" t="inlineStr">
        <is>
          <t>PL97170675</t>
        </is>
      </c>
      <c r="E250" s="12" t="n">
        <v>46274</v>
      </c>
      <c r="F250" s="11" t="inlineStr">
        <is>
          <t>Delivered</t>
        </is>
      </c>
      <c r="G250" s="12" t="n">
        <v>46280</v>
      </c>
      <c r="H250" s="5">
        <f>IF(G250="","",Rules!$B$1-G250)</f>
        <v/>
      </c>
      <c r="I250" s="5">
        <f>IF(F250="Address issue","address issue",IF(OR(F250="Delivered",F250="Returned to sender",G250=""),"",IF(AND(Rules!$B$3&lt;&gt;"",F250="Held at customs",H250&gt;=Rules!$B$3),"customs &gt;= "&amp;Rules!$B$3&amp;" days",IF(H250&gt;=Rules!$B$2,"idle &gt;= "&amp;Rules!$B$2&amp;" days",""))))</f>
        <v/>
      </c>
      <c r="J250" s="5">
        <f>IF(I250="","",IF(F250="Address issue",0,COUNTIF($I$2:$I$1001,"address issue"))+COUNTIFS($I$2:$I$1001,"?*",$F$2:$F$1001,IF(F250="Address issue","Address issue","&lt;&gt;Address issue"),$H$2:$H$1001,"&gt;"&amp;H250)+1)</f>
        <v/>
      </c>
    </row>
    <row r="251">
      <c r="A251" s="11" t="n">
        <v>100250</v>
      </c>
      <c r="B251" s="11" t="inlineStr">
        <is>
          <t>Бразилія</t>
        </is>
      </c>
      <c r="C251" s="11" t="inlineStr">
        <is>
          <t>SwiftParcel</t>
        </is>
      </c>
      <c r="D251" s="11" t="inlineStr">
        <is>
          <t>SP6960980</t>
        </is>
      </c>
      <c r="E251" s="12" t="n">
        <v>46294</v>
      </c>
      <c r="F251" s="11" t="inlineStr">
        <is>
          <t>Label created</t>
        </is>
      </c>
      <c r="G251" s="12" t="n">
        <v>46294</v>
      </c>
      <c r="H251" s="5">
        <f>IF(G251="","",Rules!$B$1-G251)</f>
        <v/>
      </c>
      <c r="I251" s="5">
        <f>IF(F251="Address issue","address issue",IF(OR(F251="Delivered",F251="Returned to sender",G251=""),"",IF(AND(Rules!$B$3&lt;&gt;"",F251="Held at customs",H251&gt;=Rules!$B$3),"customs &gt;= "&amp;Rules!$B$3&amp;" days",IF(H251&gt;=Rules!$B$2,"idle &gt;= "&amp;Rules!$B$2&amp;" days",""))))</f>
        <v/>
      </c>
      <c r="J251" s="5">
        <f>IF(I251="","",IF(F251="Address issue",0,COUNTIF($I$2:$I$1001,"address issue"))+COUNTIFS($I$2:$I$1001,"?*",$F$2:$F$1001,IF(F251="Address issue","Address issue","&lt;&gt;Address issue"),$H$2:$H$1001,"&gt;"&amp;H251)+1)</f>
        <v/>
      </c>
    </row>
    <row r="252">
      <c r="A252" s="11" t="n">
        <v>100251</v>
      </c>
      <c r="B252" s="11" t="inlineStr">
        <is>
          <t>Бразилія</t>
        </is>
      </c>
      <c r="C252" s="11" t="inlineStr">
        <is>
          <t>AndesCargo</t>
        </is>
      </c>
      <c r="D252" s="11" t="inlineStr">
        <is>
          <t>AC55912809</t>
        </is>
      </c>
      <c r="E252" s="12" t="n">
        <v>46299</v>
      </c>
      <c r="F252" s="11" t="inlineStr">
        <is>
          <t>In transit</t>
        </is>
      </c>
      <c r="G252" s="13" t="n">
        <v>46305</v>
      </c>
      <c r="H252" s="5">
        <f>IF(G252="","",Rules!$B$1-G252)</f>
        <v/>
      </c>
      <c r="I252" s="5">
        <f>IF(F252="Address issue","address issue",IF(OR(F252="Delivered",F252="Returned to sender",G252=""),"",IF(AND(Rules!$B$3&lt;&gt;"",F252="Held at customs",H252&gt;=Rules!$B$3),"customs &gt;= "&amp;Rules!$B$3&amp;" days",IF(H252&gt;=Rules!$B$2,"idle &gt;= "&amp;Rules!$B$2&amp;" days",""))))</f>
        <v/>
      </c>
      <c r="J252" s="5">
        <f>IF(I252="","",IF(F252="Address issue",0,COUNTIF($I$2:$I$1001,"address issue"))+COUNTIFS($I$2:$I$1001,"?*",$F$2:$F$1001,IF(F252="Address issue","Address issue","&lt;&gt;Address issue"),$H$2:$H$1001,"&gt;"&amp;H252)+1)</f>
        <v/>
      </c>
    </row>
    <row r="253">
      <c r="A253" s="11" t="n">
        <v>100252</v>
      </c>
      <c r="B253" s="11" t="inlineStr">
        <is>
          <t>Бразилія</t>
        </is>
      </c>
      <c r="C253" s="11" t="inlineStr">
        <is>
          <t>SwiftParcel</t>
        </is>
      </c>
      <c r="D253" s="11" t="inlineStr">
        <is>
          <t>SP5544695</t>
        </is>
      </c>
      <c r="E253" s="12" t="n">
        <v>46295</v>
      </c>
      <c r="F253" s="11" t="inlineStr">
        <is>
          <t>Delivered</t>
        </is>
      </c>
      <c r="G253" s="12" t="n">
        <v>46298</v>
      </c>
      <c r="H253" s="5">
        <f>IF(G253="","",Rules!$B$1-G253)</f>
        <v/>
      </c>
      <c r="I253" s="5">
        <f>IF(F253="Address issue","address issue",IF(OR(F253="Delivered",F253="Returned to sender",G253=""),"",IF(AND(Rules!$B$3&lt;&gt;"",F253="Held at customs",H253&gt;=Rules!$B$3),"customs &gt;= "&amp;Rules!$B$3&amp;" days",IF(H253&gt;=Rules!$B$2,"idle &gt;= "&amp;Rules!$B$2&amp;" days",""))))</f>
        <v/>
      </c>
      <c r="J253" s="5">
        <f>IF(I253="","",IF(F253="Address issue",0,COUNTIF($I$2:$I$1001,"address issue"))+COUNTIFS($I$2:$I$1001,"?*",$F$2:$F$1001,IF(F253="Address issue","Address issue","&lt;&gt;Address issue"),$H$2:$H$1001,"&gt;"&amp;H253)+1)</f>
        <v/>
      </c>
    </row>
    <row r="254">
      <c r="A254" s="11" t="n">
        <v>100253</v>
      </c>
      <c r="B254" s="11" t="inlineStr">
        <is>
          <t>Мексика</t>
        </is>
      </c>
      <c r="C254" s="11" t="inlineStr">
        <is>
          <t>SwiftParcel</t>
        </is>
      </c>
      <c r="D254" s="11" t="inlineStr">
        <is>
          <t>SP6107059</t>
        </is>
      </c>
      <c r="E254" s="13" t="n">
        <v>46306</v>
      </c>
      <c r="F254" s="11" t="inlineStr">
        <is>
          <t>In transit</t>
        </is>
      </c>
      <c r="G254" s="13" t="n">
        <v>46310</v>
      </c>
      <c r="H254" s="5">
        <f>IF(G254="","",Rules!$B$1-G254)</f>
        <v/>
      </c>
      <c r="I254" s="5">
        <f>IF(F254="Address issue","address issue",IF(OR(F254="Delivered",F254="Returned to sender",G254=""),"",IF(AND(Rules!$B$3&lt;&gt;"",F254="Held at customs",H254&gt;=Rules!$B$3),"customs &gt;= "&amp;Rules!$B$3&amp;" days",IF(H254&gt;=Rules!$B$2,"idle &gt;= "&amp;Rules!$B$2&amp;" days",""))))</f>
        <v/>
      </c>
      <c r="J254" s="5">
        <f>IF(I254="","",IF(F254="Address issue",0,COUNTIF($I$2:$I$1001,"address issue"))+COUNTIFS($I$2:$I$1001,"?*",$F$2:$F$1001,IF(F254="Address issue","Address issue","&lt;&gt;Address issue"),$H$2:$H$1001,"&gt;"&amp;H254)+1)</f>
        <v/>
      </c>
    </row>
    <row r="255">
      <c r="A255" s="11" t="n">
        <v>100254</v>
      </c>
      <c r="B255" s="11" t="inlineStr">
        <is>
          <t>Мексика</t>
        </is>
      </c>
      <c r="C255" s="11" t="inlineStr">
        <is>
          <t>AndesCargo</t>
        </is>
      </c>
      <c r="D255" s="11" t="inlineStr">
        <is>
          <t>AC41105365</t>
        </is>
      </c>
      <c r="E255" s="12" t="n">
        <v>46296</v>
      </c>
      <c r="F255" s="11" t="inlineStr">
        <is>
          <t>Delivered</t>
        </is>
      </c>
      <c r="G255" s="12" t="n">
        <v>46299</v>
      </c>
      <c r="H255" s="5">
        <f>IF(G255="","",Rules!$B$1-G255)</f>
        <v/>
      </c>
      <c r="I255" s="5">
        <f>IF(F255="Address issue","address issue",IF(OR(F255="Delivered",F255="Returned to sender",G255=""),"",IF(AND(Rules!$B$3&lt;&gt;"",F255="Held at customs",H255&gt;=Rules!$B$3),"customs &gt;= "&amp;Rules!$B$3&amp;" days",IF(H255&gt;=Rules!$B$2,"idle &gt;= "&amp;Rules!$B$2&amp;" days",""))))</f>
        <v/>
      </c>
      <c r="J255" s="5">
        <f>IF(I255="","",IF(F255="Address issue",0,COUNTIF($I$2:$I$1001,"address issue"))+COUNTIFS($I$2:$I$1001,"?*",$F$2:$F$1001,IF(F255="Address issue","Address issue","&lt;&gt;Address issue"),$H$2:$H$1001,"&gt;"&amp;H255)+1)</f>
        <v/>
      </c>
    </row>
    <row r="256">
      <c r="A256" s="11" t="n">
        <v>100255</v>
      </c>
      <c r="B256" s="11" t="inlineStr">
        <is>
          <t>Бразилія</t>
        </is>
      </c>
      <c r="C256" s="11" t="inlineStr">
        <is>
          <t>AndesCargo</t>
        </is>
      </c>
      <c r="D256" s="11" t="inlineStr">
        <is>
          <t>AC39898258</t>
        </is>
      </c>
      <c r="E256" s="12" t="n">
        <v>46299</v>
      </c>
      <c r="F256" s="11" t="inlineStr">
        <is>
          <t>In transit</t>
        </is>
      </c>
      <c r="G256" s="12" t="n">
        <v>46302</v>
      </c>
      <c r="H256" s="5">
        <f>IF(G256="","",Rules!$B$1-G256)</f>
        <v/>
      </c>
      <c r="I256" s="5">
        <f>IF(F256="Address issue","address issue",IF(OR(F256="Delivered",F256="Returned to sender",G256=""),"",IF(AND(Rules!$B$3&lt;&gt;"",F256="Held at customs",H256&gt;=Rules!$B$3),"customs &gt;= "&amp;Rules!$B$3&amp;" days",IF(H256&gt;=Rules!$B$2,"idle &gt;= "&amp;Rules!$B$2&amp;" days",""))))</f>
        <v/>
      </c>
      <c r="J256" s="5">
        <f>IF(I256="","",IF(F256="Address issue",0,COUNTIF($I$2:$I$1001,"address issue"))+COUNTIFS($I$2:$I$1001,"?*",$F$2:$F$1001,IF(F256="Address issue","Address issue","&lt;&gt;Address issue"),$H$2:$H$1001,"&gt;"&amp;H256)+1)</f>
        <v/>
      </c>
    </row>
    <row r="257">
      <c r="A257" s="11" t="n">
        <v>100256</v>
      </c>
      <c r="B257" s="11" t="inlineStr">
        <is>
          <t>Канада</t>
        </is>
      </c>
      <c r="C257" s="11" t="inlineStr">
        <is>
          <t>PostLink</t>
        </is>
      </c>
      <c r="D257" s="11" t="inlineStr">
        <is>
          <t>PL51801258</t>
        </is>
      </c>
      <c r="E257" s="13" t="n">
        <v>46307</v>
      </c>
      <c r="F257" s="11" t="inlineStr">
        <is>
          <t>Out for delivery</t>
        </is>
      </c>
      <c r="G257" s="13" t="n">
        <v>46309</v>
      </c>
      <c r="H257" s="5">
        <f>IF(G257="","",Rules!$B$1-G257)</f>
        <v/>
      </c>
      <c r="I257" s="5">
        <f>IF(F257="Address issue","address issue",IF(OR(F257="Delivered",F257="Returned to sender",G257=""),"",IF(AND(Rules!$B$3&lt;&gt;"",F257="Held at customs",H257&gt;=Rules!$B$3),"customs &gt;= "&amp;Rules!$B$3&amp;" days",IF(H257&gt;=Rules!$B$2,"idle &gt;= "&amp;Rules!$B$2&amp;" days",""))))</f>
        <v/>
      </c>
      <c r="J257" s="5">
        <f>IF(I257="","",IF(F257="Address issue",0,COUNTIF($I$2:$I$1001,"address issue"))+COUNTIFS($I$2:$I$1001,"?*",$F$2:$F$1001,IF(F257="Address issue","Address issue","&lt;&gt;Address issue"),$H$2:$H$1001,"&gt;"&amp;H257)+1)</f>
        <v/>
      </c>
    </row>
    <row r="258">
      <c r="A258" s="11" t="n">
        <v>100257</v>
      </c>
      <c r="B258" s="11" t="inlineStr">
        <is>
          <t>Мексика</t>
        </is>
      </c>
      <c r="C258" s="11" t="inlineStr">
        <is>
          <t>AndesCargo</t>
        </is>
      </c>
      <c r="D258" s="11" t="inlineStr">
        <is>
          <t>AC90566524</t>
        </is>
      </c>
      <c r="E258" s="12" t="n">
        <v>46271</v>
      </c>
      <c r="F258" s="11" t="inlineStr">
        <is>
          <t>Delivered</t>
        </is>
      </c>
      <c r="G258" s="12" t="n">
        <v>46282</v>
      </c>
      <c r="H258" s="5">
        <f>IF(G258="","",Rules!$B$1-G258)</f>
        <v/>
      </c>
      <c r="I258" s="5">
        <f>IF(F258="Address issue","address issue",IF(OR(F258="Delivered",F258="Returned to sender",G258=""),"",IF(AND(Rules!$B$3&lt;&gt;"",F258="Held at customs",H258&gt;=Rules!$B$3),"customs &gt;= "&amp;Rules!$B$3&amp;" days",IF(H258&gt;=Rules!$B$2,"idle &gt;= "&amp;Rules!$B$2&amp;" days",""))))</f>
        <v/>
      </c>
      <c r="J258" s="5">
        <f>IF(I258="","",IF(F258="Address issue",0,COUNTIF($I$2:$I$1001,"address issue"))+COUNTIFS($I$2:$I$1001,"?*",$F$2:$F$1001,IF(F258="Address issue","Address issue","&lt;&gt;Address issue"),$H$2:$H$1001,"&gt;"&amp;H258)+1)</f>
        <v/>
      </c>
    </row>
    <row r="259">
      <c r="A259" s="11" t="n">
        <v>100258</v>
      </c>
      <c r="B259" s="11" t="inlineStr">
        <is>
          <t>Мексика</t>
        </is>
      </c>
      <c r="C259" s="11" t="inlineStr">
        <is>
          <t>SwiftParcel</t>
        </is>
      </c>
      <c r="D259" s="11" t="inlineStr">
        <is>
          <t>SP9585740</t>
        </is>
      </c>
      <c r="E259" s="12" t="n">
        <v>46296</v>
      </c>
      <c r="F259" s="11" t="inlineStr">
        <is>
          <t>In transit</t>
        </is>
      </c>
      <c r="G259" s="12" t="n">
        <v>46304</v>
      </c>
      <c r="H259" s="5">
        <f>IF(G259="","",Rules!$B$1-G259)</f>
        <v/>
      </c>
      <c r="I259" s="5">
        <f>IF(F259="Address issue","address issue",IF(OR(F259="Delivered",F259="Returned to sender",G259=""),"",IF(AND(Rules!$B$3&lt;&gt;"",F259="Held at customs",H259&gt;=Rules!$B$3),"customs &gt;= "&amp;Rules!$B$3&amp;" days",IF(H259&gt;=Rules!$B$2,"idle &gt;= "&amp;Rules!$B$2&amp;" days",""))))</f>
        <v/>
      </c>
      <c r="J259" s="5">
        <f>IF(I259="","",IF(F259="Address issue",0,COUNTIF($I$2:$I$1001,"address issue"))+COUNTIFS($I$2:$I$1001,"?*",$F$2:$F$1001,IF(F259="Address issue","Address issue","&lt;&gt;Address issue"),$H$2:$H$1001,"&gt;"&amp;H259)+1)</f>
        <v/>
      </c>
    </row>
    <row r="260">
      <c r="A260" s="11" t="n">
        <v>100259</v>
      </c>
      <c r="B260" s="11" t="inlineStr">
        <is>
          <t>Канада</t>
        </is>
      </c>
      <c r="C260" s="11" t="inlineStr">
        <is>
          <t>PostLink</t>
        </is>
      </c>
      <c r="D260" s="11" t="inlineStr">
        <is>
          <t>PL68129879</t>
        </is>
      </c>
      <c r="E260" s="12" t="n">
        <v>46293</v>
      </c>
      <c r="F260" s="11" t="inlineStr">
        <is>
          <t>Delivered</t>
        </is>
      </c>
      <c r="G260" s="12" t="n">
        <v>46299</v>
      </c>
      <c r="H260" s="5">
        <f>IF(G260="","",Rules!$B$1-G260)</f>
        <v/>
      </c>
      <c r="I260" s="5">
        <f>IF(F260="Address issue","address issue",IF(OR(F260="Delivered",F260="Returned to sender",G260=""),"",IF(AND(Rules!$B$3&lt;&gt;"",F260="Held at customs",H260&gt;=Rules!$B$3),"customs &gt;= "&amp;Rules!$B$3&amp;" days",IF(H260&gt;=Rules!$B$2,"idle &gt;= "&amp;Rules!$B$2&amp;" days",""))))</f>
        <v/>
      </c>
      <c r="J260" s="5">
        <f>IF(I260="","",IF(F260="Address issue",0,COUNTIF($I$2:$I$1001,"address issue"))+COUNTIFS($I$2:$I$1001,"?*",$F$2:$F$1001,IF(F260="Address issue","Address issue","&lt;&gt;Address issue"),$H$2:$H$1001,"&gt;"&amp;H260)+1)</f>
        <v/>
      </c>
    </row>
    <row r="261">
      <c r="A261" s="11" t="n">
        <v>100260</v>
      </c>
      <c r="B261" s="11" t="inlineStr">
        <is>
          <t>Канада</t>
        </is>
      </c>
      <c r="C261" s="11" t="inlineStr">
        <is>
          <t>PostLink</t>
        </is>
      </c>
      <c r="D261" s="11" t="inlineStr">
        <is>
          <t>PL27929393</t>
        </is>
      </c>
      <c r="E261" s="12" t="n">
        <v>46298</v>
      </c>
      <c r="F261" s="11" t="inlineStr">
        <is>
          <t>Delivered</t>
        </is>
      </c>
      <c r="G261" s="12" t="n">
        <v>46303</v>
      </c>
      <c r="H261" s="5">
        <f>IF(G261="","",Rules!$B$1-G261)</f>
        <v/>
      </c>
      <c r="I261" s="5">
        <f>IF(F261="Address issue","address issue",IF(OR(F261="Delivered",F261="Returned to sender",G261=""),"",IF(AND(Rules!$B$3&lt;&gt;"",F261="Held at customs",H261&gt;=Rules!$B$3),"customs &gt;= "&amp;Rules!$B$3&amp;" days",IF(H261&gt;=Rules!$B$2,"idle &gt;= "&amp;Rules!$B$2&amp;" days",""))))</f>
        <v/>
      </c>
      <c r="J261" s="5">
        <f>IF(I261="","",IF(F261="Address issue",0,COUNTIF($I$2:$I$1001,"address issue"))+COUNTIFS($I$2:$I$1001,"?*",$F$2:$F$1001,IF(F261="Address issue","Address issue","&lt;&gt;Address issue"),$H$2:$H$1001,"&gt;"&amp;H261)+1)</f>
        <v/>
      </c>
    </row>
    <row r="262">
      <c r="A262" s="11" t="n">
        <v>100261</v>
      </c>
      <c r="B262" s="11" t="inlineStr">
        <is>
          <t>Мексика</t>
        </is>
      </c>
      <c r="C262" s="11" t="inlineStr">
        <is>
          <t>SwiftParcel</t>
        </is>
      </c>
      <c r="D262" s="11" t="inlineStr">
        <is>
          <t>SP4086126</t>
        </is>
      </c>
      <c r="E262" s="12" t="n">
        <v>46287</v>
      </c>
      <c r="F262" s="11" t="inlineStr">
        <is>
          <t>Delivered</t>
        </is>
      </c>
      <c r="G262" s="12" t="n">
        <v>46295</v>
      </c>
      <c r="H262" s="5">
        <f>IF(G262="","",Rules!$B$1-G262)</f>
        <v/>
      </c>
      <c r="I262" s="5">
        <f>IF(F262="Address issue","address issue",IF(OR(F262="Delivered",F262="Returned to sender",G262=""),"",IF(AND(Rules!$B$3&lt;&gt;"",F262="Held at customs",H262&gt;=Rules!$B$3),"customs &gt;= "&amp;Rules!$B$3&amp;" days",IF(H262&gt;=Rules!$B$2,"idle &gt;= "&amp;Rules!$B$2&amp;" days",""))))</f>
        <v/>
      </c>
      <c r="J262" s="5">
        <f>IF(I262="","",IF(F262="Address issue",0,COUNTIF($I$2:$I$1001,"address issue"))+COUNTIFS($I$2:$I$1001,"?*",$F$2:$F$1001,IF(F262="Address issue","Address issue","&lt;&gt;Address issue"),$H$2:$H$1001,"&gt;"&amp;H262)+1)</f>
        <v/>
      </c>
    </row>
    <row r="263">
      <c r="A263" s="11" t="n">
        <v>100262</v>
      </c>
      <c r="B263" s="11" t="inlineStr">
        <is>
          <t>Канада</t>
        </is>
      </c>
      <c r="C263" s="11" t="inlineStr">
        <is>
          <t>PostLink</t>
        </is>
      </c>
      <c r="D263" s="11" t="inlineStr">
        <is>
          <t>PL38375001</t>
        </is>
      </c>
      <c r="E263" s="12" t="n">
        <v>46285</v>
      </c>
      <c r="F263" s="11" t="inlineStr">
        <is>
          <t>Delivered</t>
        </is>
      </c>
      <c r="G263" s="12" t="n">
        <v>46291</v>
      </c>
      <c r="H263" s="5">
        <f>IF(G263="","",Rules!$B$1-G263)</f>
        <v/>
      </c>
      <c r="I263" s="5">
        <f>IF(F263="Address issue","address issue",IF(OR(F263="Delivered",F263="Returned to sender",G263=""),"",IF(AND(Rules!$B$3&lt;&gt;"",F263="Held at customs",H263&gt;=Rules!$B$3),"customs &gt;= "&amp;Rules!$B$3&amp;" days",IF(H263&gt;=Rules!$B$2,"idle &gt;= "&amp;Rules!$B$2&amp;" days",""))))</f>
        <v/>
      </c>
      <c r="J263" s="5">
        <f>IF(I263="","",IF(F263="Address issue",0,COUNTIF($I$2:$I$1001,"address issue"))+COUNTIFS($I$2:$I$1001,"?*",$F$2:$F$1001,IF(F263="Address issue","Address issue","&lt;&gt;Address issue"),$H$2:$H$1001,"&gt;"&amp;H263)+1)</f>
        <v/>
      </c>
    </row>
    <row r="264">
      <c r="A264" s="11" t="n">
        <v>100263</v>
      </c>
      <c r="B264" s="11" t="inlineStr">
        <is>
          <t>Канада</t>
        </is>
      </c>
      <c r="C264" s="11" t="inlineStr">
        <is>
          <t>PostLink</t>
        </is>
      </c>
      <c r="D264" s="11" t="inlineStr">
        <is>
          <t>PL55959518</t>
        </is>
      </c>
      <c r="E264" s="12" t="n">
        <v>46292</v>
      </c>
      <c r="F264" s="11" t="inlineStr">
        <is>
          <t>Delivered</t>
        </is>
      </c>
      <c r="G264" s="12" t="n">
        <v>46304</v>
      </c>
      <c r="H264" s="5">
        <f>IF(G264="","",Rules!$B$1-G264)</f>
        <v/>
      </c>
      <c r="I264" s="5">
        <f>IF(F264="Address issue","address issue",IF(OR(F264="Delivered",F264="Returned to sender",G264=""),"",IF(AND(Rules!$B$3&lt;&gt;"",F264="Held at customs",H264&gt;=Rules!$B$3),"customs &gt;= "&amp;Rules!$B$3&amp;" days",IF(H264&gt;=Rules!$B$2,"idle &gt;= "&amp;Rules!$B$2&amp;" days",""))))</f>
        <v/>
      </c>
      <c r="J264" s="5">
        <f>IF(I264="","",IF(F264="Address issue",0,COUNTIF($I$2:$I$1001,"address issue"))+COUNTIFS($I$2:$I$1001,"?*",$F$2:$F$1001,IF(F264="Address issue","Address issue","&lt;&gt;Address issue"),$H$2:$H$1001,"&gt;"&amp;H264)+1)</f>
        <v/>
      </c>
    </row>
    <row r="265">
      <c r="A265" s="11" t="n">
        <v>100264</v>
      </c>
      <c r="B265" s="11" t="inlineStr">
        <is>
          <t>Канада</t>
        </is>
      </c>
      <c r="C265" s="11" t="inlineStr">
        <is>
          <t>PostLink</t>
        </is>
      </c>
      <c r="D265" s="11" t="inlineStr">
        <is>
          <t>PL39201921</t>
        </is>
      </c>
      <c r="E265" s="12" t="n">
        <v>46304</v>
      </c>
      <c r="F265" s="11" t="inlineStr">
        <is>
          <t>In transit</t>
        </is>
      </c>
      <c r="G265" s="13" t="n">
        <v>46305</v>
      </c>
      <c r="H265" s="5">
        <f>IF(G265="","",Rules!$B$1-G265)</f>
        <v/>
      </c>
      <c r="I265" s="5">
        <f>IF(F265="Address issue","address issue",IF(OR(F265="Delivered",F265="Returned to sender",G265=""),"",IF(AND(Rules!$B$3&lt;&gt;"",F265="Held at customs",H265&gt;=Rules!$B$3),"customs &gt;= "&amp;Rules!$B$3&amp;" days",IF(H265&gt;=Rules!$B$2,"idle &gt;= "&amp;Rules!$B$2&amp;" days",""))))</f>
        <v/>
      </c>
      <c r="J265" s="5">
        <f>IF(I265="","",IF(F265="Address issue",0,COUNTIF($I$2:$I$1001,"address issue"))+COUNTIFS($I$2:$I$1001,"?*",$F$2:$F$1001,IF(F265="Address issue","Address issue","&lt;&gt;Address issue"),$H$2:$H$1001,"&gt;"&amp;H265)+1)</f>
        <v/>
      </c>
    </row>
    <row r="266">
      <c r="A266" s="11" t="n">
        <v>100265</v>
      </c>
      <c r="B266" s="11" t="inlineStr">
        <is>
          <t>Мексика</t>
        </is>
      </c>
      <c r="C266" s="11" t="inlineStr">
        <is>
          <t>AndesCargo</t>
        </is>
      </c>
      <c r="D266" s="11" t="inlineStr">
        <is>
          <t>AC59227342</t>
        </is>
      </c>
      <c r="E266" s="13" t="n">
        <v>46306</v>
      </c>
      <c r="F266" s="11" t="inlineStr">
        <is>
          <t>Delivered</t>
        </is>
      </c>
      <c r="G266" s="13" t="n">
        <v>46309</v>
      </c>
      <c r="H266" s="5">
        <f>IF(G266="","",Rules!$B$1-G266)</f>
        <v/>
      </c>
      <c r="I266" s="5">
        <f>IF(F266="Address issue","address issue",IF(OR(F266="Delivered",F266="Returned to sender",G266=""),"",IF(AND(Rules!$B$3&lt;&gt;"",F266="Held at customs",H266&gt;=Rules!$B$3),"customs &gt;= "&amp;Rules!$B$3&amp;" days",IF(H266&gt;=Rules!$B$2,"idle &gt;= "&amp;Rules!$B$2&amp;" days",""))))</f>
        <v/>
      </c>
      <c r="J266" s="5">
        <f>IF(I266="","",IF(F266="Address issue",0,COUNTIF($I$2:$I$1001,"address issue"))+COUNTIFS($I$2:$I$1001,"?*",$F$2:$F$1001,IF(F266="Address issue","Address issue","&lt;&gt;Address issue"),$H$2:$H$1001,"&gt;"&amp;H266)+1)</f>
        <v/>
      </c>
    </row>
    <row r="267">
      <c r="A267" s="11" t="n">
        <v>100266</v>
      </c>
      <c r="B267" s="11" t="inlineStr">
        <is>
          <t>Бразилія</t>
        </is>
      </c>
      <c r="C267" s="11" t="inlineStr">
        <is>
          <t>SwiftParcel</t>
        </is>
      </c>
      <c r="D267" s="11" t="inlineStr">
        <is>
          <t>SP9576073</t>
        </is>
      </c>
      <c r="E267" s="12" t="n">
        <v>46291</v>
      </c>
      <c r="F267" s="11" t="inlineStr">
        <is>
          <t>Delivered</t>
        </is>
      </c>
      <c r="G267" s="12" t="n">
        <v>46295</v>
      </c>
      <c r="H267" s="5">
        <f>IF(G267="","",Rules!$B$1-G267)</f>
        <v/>
      </c>
      <c r="I267" s="5">
        <f>IF(F267="Address issue","address issue",IF(OR(F267="Delivered",F267="Returned to sender",G267=""),"",IF(AND(Rules!$B$3&lt;&gt;"",F267="Held at customs",H267&gt;=Rules!$B$3),"customs &gt;= "&amp;Rules!$B$3&amp;" days",IF(H267&gt;=Rules!$B$2,"idle &gt;= "&amp;Rules!$B$2&amp;" days",""))))</f>
        <v/>
      </c>
      <c r="J267" s="5">
        <f>IF(I267="","",IF(F267="Address issue",0,COUNTIF($I$2:$I$1001,"address issue"))+COUNTIFS($I$2:$I$1001,"?*",$F$2:$F$1001,IF(F267="Address issue","Address issue","&lt;&gt;Address issue"),$H$2:$H$1001,"&gt;"&amp;H267)+1)</f>
        <v/>
      </c>
    </row>
    <row r="268">
      <c r="A268" s="11" t="n">
        <v>100267</v>
      </c>
      <c r="B268" s="11" t="inlineStr">
        <is>
          <t>Мексика</t>
        </is>
      </c>
      <c r="C268" s="11" t="inlineStr">
        <is>
          <t>AndesCargo</t>
        </is>
      </c>
      <c r="D268" s="11" t="inlineStr">
        <is>
          <t>AC86891867</t>
        </is>
      </c>
      <c r="E268" s="12" t="n">
        <v>46302</v>
      </c>
      <c r="F268" s="11" t="inlineStr">
        <is>
          <t>In transit</t>
        </is>
      </c>
      <c r="G268" s="13" t="n">
        <v>46308</v>
      </c>
      <c r="H268" s="5">
        <f>IF(G268="","",Rules!$B$1-G268)</f>
        <v/>
      </c>
      <c r="I268" s="5">
        <f>IF(F268="Address issue","address issue",IF(OR(F268="Delivered",F268="Returned to sender",G268=""),"",IF(AND(Rules!$B$3&lt;&gt;"",F268="Held at customs",H268&gt;=Rules!$B$3),"customs &gt;= "&amp;Rules!$B$3&amp;" days",IF(H268&gt;=Rules!$B$2,"idle &gt;= "&amp;Rules!$B$2&amp;" days",""))))</f>
        <v/>
      </c>
      <c r="J268" s="5">
        <f>IF(I268="","",IF(F268="Address issue",0,COUNTIF($I$2:$I$1001,"address issue"))+COUNTIFS($I$2:$I$1001,"?*",$F$2:$F$1001,IF(F268="Address issue","Address issue","&lt;&gt;Address issue"),$H$2:$H$1001,"&gt;"&amp;H268)+1)</f>
        <v/>
      </c>
    </row>
    <row r="269">
      <c r="A269" s="11" t="n">
        <v>100268</v>
      </c>
      <c r="B269" s="11" t="inlineStr">
        <is>
          <t>Канада</t>
        </is>
      </c>
      <c r="C269" s="11" t="inlineStr">
        <is>
          <t>PostLink</t>
        </is>
      </c>
      <c r="D269" s="11" t="inlineStr">
        <is>
          <t>PL45174647</t>
        </is>
      </c>
      <c r="E269" s="12" t="n">
        <v>46279</v>
      </c>
      <c r="F269" s="11" t="inlineStr">
        <is>
          <t>Delivered</t>
        </is>
      </c>
      <c r="G269" s="12" t="n">
        <v>46283</v>
      </c>
      <c r="H269" s="5">
        <f>IF(G269="","",Rules!$B$1-G269)</f>
        <v/>
      </c>
      <c r="I269" s="5">
        <f>IF(F269="Address issue","address issue",IF(OR(F269="Delivered",F269="Returned to sender",G269=""),"",IF(AND(Rules!$B$3&lt;&gt;"",F269="Held at customs",H269&gt;=Rules!$B$3),"customs &gt;= "&amp;Rules!$B$3&amp;" days",IF(H269&gt;=Rules!$B$2,"idle &gt;= "&amp;Rules!$B$2&amp;" days",""))))</f>
        <v/>
      </c>
      <c r="J269" s="5">
        <f>IF(I269="","",IF(F269="Address issue",0,COUNTIF($I$2:$I$1001,"address issue"))+COUNTIFS($I$2:$I$1001,"?*",$F$2:$F$1001,IF(F269="Address issue","Address issue","&lt;&gt;Address issue"),$H$2:$H$1001,"&gt;"&amp;H269)+1)</f>
        <v/>
      </c>
    </row>
    <row r="270">
      <c r="A270" s="11" t="n">
        <v>100269</v>
      </c>
      <c r="B270" s="11" t="inlineStr">
        <is>
          <t>Мексика</t>
        </is>
      </c>
      <c r="C270" s="11" t="inlineStr">
        <is>
          <t>AndesCargo</t>
        </is>
      </c>
      <c r="D270" s="11" t="inlineStr">
        <is>
          <t>AC53951903</t>
        </is>
      </c>
      <c r="E270" s="13" t="n">
        <v>46307</v>
      </c>
      <c r="F270" s="11" t="inlineStr">
        <is>
          <t>In transit</t>
        </is>
      </c>
      <c r="G270" s="13" t="n">
        <v>46310</v>
      </c>
      <c r="H270" s="5">
        <f>IF(G270="","",Rules!$B$1-G270)</f>
        <v/>
      </c>
      <c r="I270" s="5">
        <f>IF(F270="Address issue","address issue",IF(OR(F270="Delivered",F270="Returned to sender",G270=""),"",IF(AND(Rules!$B$3&lt;&gt;"",F270="Held at customs",H270&gt;=Rules!$B$3),"customs &gt;= "&amp;Rules!$B$3&amp;" days",IF(H270&gt;=Rules!$B$2,"idle &gt;= "&amp;Rules!$B$2&amp;" days",""))))</f>
        <v/>
      </c>
      <c r="J270" s="5">
        <f>IF(I270="","",IF(F270="Address issue",0,COUNTIF($I$2:$I$1001,"address issue"))+COUNTIFS($I$2:$I$1001,"?*",$F$2:$F$1001,IF(F270="Address issue","Address issue","&lt;&gt;Address issue"),$H$2:$H$1001,"&gt;"&amp;H270)+1)</f>
        <v/>
      </c>
    </row>
    <row r="271">
      <c r="A271" s="11" t="n">
        <v>100270</v>
      </c>
      <c r="B271" s="11" t="inlineStr">
        <is>
          <t>Бразилія</t>
        </is>
      </c>
      <c r="C271" s="11" t="inlineStr">
        <is>
          <t>SwiftParcel</t>
        </is>
      </c>
      <c r="D271" s="11" t="inlineStr">
        <is>
          <t>SP6137410</t>
        </is>
      </c>
      <c r="E271" s="12" t="n">
        <v>46277</v>
      </c>
      <c r="F271" s="11" t="inlineStr">
        <is>
          <t>Delivered</t>
        </is>
      </c>
      <c r="G271" s="12" t="n">
        <v>46284</v>
      </c>
      <c r="H271" s="5">
        <f>IF(G271="","",Rules!$B$1-G271)</f>
        <v/>
      </c>
      <c r="I271" s="5">
        <f>IF(F271="Address issue","address issue",IF(OR(F271="Delivered",F271="Returned to sender",G271=""),"",IF(AND(Rules!$B$3&lt;&gt;"",F271="Held at customs",H271&gt;=Rules!$B$3),"customs &gt;= "&amp;Rules!$B$3&amp;" days",IF(H271&gt;=Rules!$B$2,"idle &gt;= "&amp;Rules!$B$2&amp;" days",""))))</f>
        <v/>
      </c>
      <c r="J271" s="5">
        <f>IF(I271="","",IF(F271="Address issue",0,COUNTIF($I$2:$I$1001,"address issue"))+COUNTIFS($I$2:$I$1001,"?*",$F$2:$F$1001,IF(F271="Address issue","Address issue","&lt;&gt;Address issue"),$H$2:$H$1001,"&gt;"&amp;H271)+1)</f>
        <v/>
      </c>
    </row>
    <row r="272">
      <c r="A272" s="11" t="n">
        <v>100271</v>
      </c>
      <c r="B272" s="11" t="inlineStr">
        <is>
          <t>Бразилія</t>
        </is>
      </c>
      <c r="C272" s="11" t="inlineStr">
        <is>
          <t>AndesCargo</t>
        </is>
      </c>
      <c r="D272" s="11" t="inlineStr">
        <is>
          <t>AC31790975</t>
        </is>
      </c>
      <c r="E272" s="12" t="n">
        <v>46303</v>
      </c>
      <c r="F272" s="11" t="inlineStr">
        <is>
          <t>Delivered</t>
        </is>
      </c>
      <c r="G272" s="13" t="n">
        <v>46310</v>
      </c>
      <c r="H272" s="5">
        <f>IF(G272="","",Rules!$B$1-G272)</f>
        <v/>
      </c>
      <c r="I272" s="5">
        <f>IF(F272="Address issue","address issue",IF(OR(F272="Delivered",F272="Returned to sender",G272=""),"",IF(AND(Rules!$B$3&lt;&gt;"",F272="Held at customs",H272&gt;=Rules!$B$3),"customs &gt;= "&amp;Rules!$B$3&amp;" days",IF(H272&gt;=Rules!$B$2,"idle &gt;= "&amp;Rules!$B$2&amp;" days",""))))</f>
        <v/>
      </c>
      <c r="J272" s="5">
        <f>IF(I272="","",IF(F272="Address issue",0,COUNTIF($I$2:$I$1001,"address issue"))+COUNTIFS($I$2:$I$1001,"?*",$F$2:$F$1001,IF(F272="Address issue","Address issue","&lt;&gt;Address issue"),$H$2:$H$1001,"&gt;"&amp;H272)+1)</f>
        <v/>
      </c>
    </row>
    <row r="273">
      <c r="A273" s="11" t="n">
        <v>100272</v>
      </c>
      <c r="B273" s="11" t="inlineStr">
        <is>
          <t>Мексика</t>
        </is>
      </c>
      <c r="C273" s="11" t="inlineStr">
        <is>
          <t>AndesCargo</t>
        </is>
      </c>
      <c r="D273" s="11" t="inlineStr">
        <is>
          <t>AC92271501</t>
        </is>
      </c>
      <c r="E273" s="12" t="n">
        <v>46288</v>
      </c>
      <c r="F273" s="11" t="inlineStr">
        <is>
          <t>Delivered</t>
        </is>
      </c>
      <c r="G273" s="12" t="n">
        <v>46297</v>
      </c>
      <c r="H273" s="5">
        <f>IF(G273="","",Rules!$B$1-G273)</f>
        <v/>
      </c>
      <c r="I273" s="5">
        <f>IF(F273="Address issue","address issue",IF(OR(F273="Delivered",F273="Returned to sender",G273=""),"",IF(AND(Rules!$B$3&lt;&gt;"",F273="Held at customs",H273&gt;=Rules!$B$3),"customs &gt;= "&amp;Rules!$B$3&amp;" days",IF(H273&gt;=Rules!$B$2,"idle &gt;= "&amp;Rules!$B$2&amp;" days",""))))</f>
        <v/>
      </c>
      <c r="J273" s="5">
        <f>IF(I273="","",IF(F273="Address issue",0,COUNTIF($I$2:$I$1001,"address issue"))+COUNTIFS($I$2:$I$1001,"?*",$F$2:$F$1001,IF(F273="Address issue","Address issue","&lt;&gt;Address issue"),$H$2:$H$1001,"&gt;"&amp;H273)+1)</f>
        <v/>
      </c>
    </row>
    <row r="274">
      <c r="A274" s="11" t="n">
        <v>100273</v>
      </c>
      <c r="B274" s="11" t="inlineStr">
        <is>
          <t>Мексика</t>
        </is>
      </c>
      <c r="C274" s="11" t="inlineStr">
        <is>
          <t>AndesCargo</t>
        </is>
      </c>
      <c r="D274" s="11" t="inlineStr">
        <is>
          <t>AC76323836</t>
        </is>
      </c>
      <c r="E274" s="12" t="n">
        <v>46278</v>
      </c>
      <c r="F274" s="11" t="inlineStr">
        <is>
          <t>Delivered</t>
        </is>
      </c>
      <c r="G274" s="12" t="n">
        <v>46290</v>
      </c>
      <c r="H274" s="5">
        <f>IF(G274="","",Rules!$B$1-G274)</f>
        <v/>
      </c>
      <c r="I274" s="5">
        <f>IF(F274="Address issue","address issue",IF(OR(F274="Delivered",F274="Returned to sender",G274=""),"",IF(AND(Rules!$B$3&lt;&gt;"",F274="Held at customs",H274&gt;=Rules!$B$3),"customs &gt;= "&amp;Rules!$B$3&amp;" days",IF(H274&gt;=Rules!$B$2,"idle &gt;= "&amp;Rules!$B$2&amp;" days",""))))</f>
        <v/>
      </c>
      <c r="J274" s="5">
        <f>IF(I274="","",IF(F274="Address issue",0,COUNTIF($I$2:$I$1001,"address issue"))+COUNTIFS($I$2:$I$1001,"?*",$F$2:$F$1001,IF(F274="Address issue","Address issue","&lt;&gt;Address issue"),$H$2:$H$1001,"&gt;"&amp;H274)+1)</f>
        <v/>
      </c>
    </row>
    <row r="275">
      <c r="A275" s="11" t="n">
        <v>100274</v>
      </c>
      <c r="B275" s="11" t="inlineStr">
        <is>
          <t>Бразилія</t>
        </is>
      </c>
      <c r="C275" s="11" t="inlineStr">
        <is>
          <t>SwiftParcel</t>
        </is>
      </c>
      <c r="D275" s="11" t="inlineStr">
        <is>
          <t>SP6900818</t>
        </is>
      </c>
      <c r="E275" s="13" t="n">
        <v>46305</v>
      </c>
      <c r="F275" s="11" t="inlineStr">
        <is>
          <t>In transit</t>
        </is>
      </c>
      <c r="G275" s="13" t="n">
        <v>46308</v>
      </c>
      <c r="H275" s="5">
        <f>IF(G275="","",Rules!$B$1-G275)</f>
        <v/>
      </c>
      <c r="I275" s="5">
        <f>IF(F275="Address issue","address issue",IF(OR(F275="Delivered",F275="Returned to sender",G275=""),"",IF(AND(Rules!$B$3&lt;&gt;"",F275="Held at customs",H275&gt;=Rules!$B$3),"customs &gt;= "&amp;Rules!$B$3&amp;" days",IF(H275&gt;=Rules!$B$2,"idle &gt;= "&amp;Rules!$B$2&amp;" days",""))))</f>
        <v/>
      </c>
      <c r="J275" s="5">
        <f>IF(I275="","",IF(F275="Address issue",0,COUNTIF($I$2:$I$1001,"address issue"))+COUNTIFS($I$2:$I$1001,"?*",$F$2:$F$1001,IF(F275="Address issue","Address issue","&lt;&gt;Address issue"),$H$2:$H$1001,"&gt;"&amp;H275)+1)</f>
        <v/>
      </c>
    </row>
    <row r="276">
      <c r="A276" s="11" t="n">
        <v>100275</v>
      </c>
      <c r="B276" s="11" t="inlineStr">
        <is>
          <t>Бразилія</t>
        </is>
      </c>
      <c r="C276" s="11" t="inlineStr">
        <is>
          <t>SwiftParcel</t>
        </is>
      </c>
      <c r="D276" s="11" t="inlineStr">
        <is>
          <t>SP4225716</t>
        </is>
      </c>
      <c r="E276" s="12" t="n">
        <v>46275</v>
      </c>
      <c r="F276" s="11" t="inlineStr">
        <is>
          <t>Delivered</t>
        </is>
      </c>
      <c r="G276" s="12" t="n">
        <v>46287</v>
      </c>
      <c r="H276" s="5">
        <f>IF(G276="","",Rules!$B$1-G276)</f>
        <v/>
      </c>
      <c r="I276" s="5">
        <f>IF(F276="Address issue","address issue",IF(OR(F276="Delivered",F276="Returned to sender",G276=""),"",IF(AND(Rules!$B$3&lt;&gt;"",F276="Held at customs",H276&gt;=Rules!$B$3),"customs &gt;= "&amp;Rules!$B$3&amp;" days",IF(H276&gt;=Rules!$B$2,"idle &gt;= "&amp;Rules!$B$2&amp;" days",""))))</f>
        <v/>
      </c>
      <c r="J276" s="5">
        <f>IF(I276="","",IF(F276="Address issue",0,COUNTIF($I$2:$I$1001,"address issue"))+COUNTIFS($I$2:$I$1001,"?*",$F$2:$F$1001,IF(F276="Address issue","Address issue","&lt;&gt;Address issue"),$H$2:$H$1001,"&gt;"&amp;H276)+1)</f>
        <v/>
      </c>
    </row>
    <row r="277">
      <c r="A277" s="11" t="n">
        <v>100276</v>
      </c>
      <c r="B277" s="11" t="inlineStr">
        <is>
          <t>Мексика</t>
        </is>
      </c>
      <c r="C277" s="11" t="inlineStr">
        <is>
          <t>AndesCargo</t>
        </is>
      </c>
      <c r="D277" s="11" t="inlineStr">
        <is>
          <t>AC42600891</t>
        </is>
      </c>
      <c r="E277" s="12" t="n">
        <v>46274</v>
      </c>
      <c r="F277" s="11" t="inlineStr">
        <is>
          <t>Delivered</t>
        </is>
      </c>
      <c r="G277" s="12" t="n">
        <v>46284</v>
      </c>
      <c r="H277" s="5">
        <f>IF(G277="","",Rules!$B$1-G277)</f>
        <v/>
      </c>
      <c r="I277" s="5">
        <f>IF(F277="Address issue","address issue",IF(OR(F277="Delivered",F277="Returned to sender",G277=""),"",IF(AND(Rules!$B$3&lt;&gt;"",F277="Held at customs",H277&gt;=Rules!$B$3),"customs &gt;= "&amp;Rules!$B$3&amp;" days",IF(H277&gt;=Rules!$B$2,"idle &gt;= "&amp;Rules!$B$2&amp;" days",""))))</f>
        <v/>
      </c>
      <c r="J277" s="5">
        <f>IF(I277="","",IF(F277="Address issue",0,COUNTIF($I$2:$I$1001,"address issue"))+COUNTIFS($I$2:$I$1001,"?*",$F$2:$F$1001,IF(F277="Address issue","Address issue","&lt;&gt;Address issue"),$H$2:$H$1001,"&gt;"&amp;H277)+1)</f>
        <v/>
      </c>
    </row>
    <row r="278">
      <c r="A278" s="11" t="n">
        <v>100277</v>
      </c>
      <c r="B278" s="11" t="inlineStr">
        <is>
          <t>Бразилія</t>
        </is>
      </c>
      <c r="C278" s="11" t="inlineStr">
        <is>
          <t>SwiftParcel</t>
        </is>
      </c>
      <c r="D278" s="11" t="inlineStr">
        <is>
          <t>SP9713322</t>
        </is>
      </c>
      <c r="E278" s="12" t="n">
        <v>46301</v>
      </c>
      <c r="F278" s="11" t="inlineStr">
        <is>
          <t>In transit</t>
        </is>
      </c>
      <c r="G278" s="12" t="n">
        <v>46302</v>
      </c>
      <c r="H278" s="5">
        <f>IF(G278="","",Rules!$B$1-G278)</f>
        <v/>
      </c>
      <c r="I278" s="5">
        <f>IF(F278="Address issue","address issue",IF(OR(F278="Delivered",F278="Returned to sender",G278=""),"",IF(AND(Rules!$B$3&lt;&gt;"",F278="Held at customs",H278&gt;=Rules!$B$3),"customs &gt;= "&amp;Rules!$B$3&amp;" days",IF(H278&gt;=Rules!$B$2,"idle &gt;= "&amp;Rules!$B$2&amp;" days",""))))</f>
        <v/>
      </c>
      <c r="J278" s="5">
        <f>IF(I278="","",IF(F278="Address issue",0,COUNTIF($I$2:$I$1001,"address issue"))+COUNTIFS($I$2:$I$1001,"?*",$F$2:$F$1001,IF(F278="Address issue","Address issue","&lt;&gt;Address issue"),$H$2:$H$1001,"&gt;"&amp;H278)+1)</f>
        <v/>
      </c>
    </row>
    <row r="279">
      <c r="A279" s="11" t="n">
        <v>100278</v>
      </c>
      <c r="B279" s="11" t="inlineStr">
        <is>
          <t>Мексика</t>
        </is>
      </c>
      <c r="C279" s="11" t="inlineStr">
        <is>
          <t>AndesCargo</t>
        </is>
      </c>
      <c r="D279" s="11" t="inlineStr">
        <is>
          <t>AC85575378</t>
        </is>
      </c>
      <c r="E279" s="12" t="n">
        <v>46303</v>
      </c>
      <c r="F279" s="11" t="inlineStr">
        <is>
          <t>In transit</t>
        </is>
      </c>
      <c r="G279" s="13" t="n">
        <v>46306</v>
      </c>
      <c r="H279" s="5">
        <f>IF(G279="","",Rules!$B$1-G279)</f>
        <v/>
      </c>
      <c r="I279" s="5">
        <f>IF(F279="Address issue","address issue",IF(OR(F279="Delivered",F279="Returned to sender",G279=""),"",IF(AND(Rules!$B$3&lt;&gt;"",F279="Held at customs",H279&gt;=Rules!$B$3),"customs &gt;= "&amp;Rules!$B$3&amp;" days",IF(H279&gt;=Rules!$B$2,"idle &gt;= "&amp;Rules!$B$2&amp;" days",""))))</f>
        <v/>
      </c>
      <c r="J279" s="5">
        <f>IF(I279="","",IF(F279="Address issue",0,COUNTIF($I$2:$I$1001,"address issue"))+COUNTIFS($I$2:$I$1001,"?*",$F$2:$F$1001,IF(F279="Address issue","Address issue","&lt;&gt;Address issue"),$H$2:$H$1001,"&gt;"&amp;H279)+1)</f>
        <v/>
      </c>
    </row>
    <row r="280">
      <c r="A280" s="11" t="n">
        <v>100279</v>
      </c>
      <c r="B280" s="11" t="inlineStr">
        <is>
          <t>Канада</t>
        </is>
      </c>
      <c r="C280" s="11" t="inlineStr">
        <is>
          <t>PostLink</t>
        </is>
      </c>
      <c r="D280" s="11" t="inlineStr">
        <is>
          <t>PL85460486</t>
        </is>
      </c>
      <c r="E280" s="12" t="n">
        <v>46287</v>
      </c>
      <c r="F280" s="11" t="inlineStr">
        <is>
          <t>Delivered</t>
        </is>
      </c>
      <c r="G280" s="12" t="n">
        <v>46298</v>
      </c>
      <c r="H280" s="5">
        <f>IF(G280="","",Rules!$B$1-G280)</f>
        <v/>
      </c>
      <c r="I280" s="5">
        <f>IF(F280="Address issue","address issue",IF(OR(F280="Delivered",F280="Returned to sender",G280=""),"",IF(AND(Rules!$B$3&lt;&gt;"",F280="Held at customs",H280&gt;=Rules!$B$3),"customs &gt;= "&amp;Rules!$B$3&amp;" days",IF(H280&gt;=Rules!$B$2,"idle &gt;= "&amp;Rules!$B$2&amp;" days",""))))</f>
        <v/>
      </c>
      <c r="J280" s="5">
        <f>IF(I280="","",IF(F280="Address issue",0,COUNTIF($I$2:$I$1001,"address issue"))+COUNTIFS($I$2:$I$1001,"?*",$F$2:$F$1001,IF(F280="Address issue","Address issue","&lt;&gt;Address issue"),$H$2:$H$1001,"&gt;"&amp;H280)+1)</f>
        <v/>
      </c>
    </row>
    <row r="281">
      <c r="A281" s="11" t="n">
        <v>100280</v>
      </c>
      <c r="B281" s="11" t="inlineStr">
        <is>
          <t>Канада</t>
        </is>
      </c>
      <c r="C281" s="11" t="inlineStr">
        <is>
          <t>PostLink</t>
        </is>
      </c>
      <c r="D281" s="11" t="inlineStr">
        <is>
          <t>PL60081103</t>
        </is>
      </c>
      <c r="E281" s="12" t="n">
        <v>46280</v>
      </c>
      <c r="F281" s="11" t="inlineStr">
        <is>
          <t>Delivered</t>
        </is>
      </c>
      <c r="G281" s="12" t="n">
        <v>46292</v>
      </c>
      <c r="H281" s="5">
        <f>IF(G281="","",Rules!$B$1-G281)</f>
        <v/>
      </c>
      <c r="I281" s="5">
        <f>IF(F281="Address issue","address issue",IF(OR(F281="Delivered",F281="Returned to sender",G281=""),"",IF(AND(Rules!$B$3&lt;&gt;"",F281="Held at customs",H281&gt;=Rules!$B$3),"customs &gt;= "&amp;Rules!$B$3&amp;" days",IF(H281&gt;=Rules!$B$2,"idle &gt;= "&amp;Rules!$B$2&amp;" days",""))))</f>
        <v/>
      </c>
      <c r="J281" s="5">
        <f>IF(I281="","",IF(F281="Address issue",0,COUNTIF($I$2:$I$1001,"address issue"))+COUNTIFS($I$2:$I$1001,"?*",$F$2:$F$1001,IF(F281="Address issue","Address issue","&lt;&gt;Address issue"),$H$2:$H$1001,"&gt;"&amp;H281)+1)</f>
        <v/>
      </c>
    </row>
    <row r="282">
      <c r="A282" s="11" t="n">
        <v>100281</v>
      </c>
      <c r="B282" s="11" t="inlineStr">
        <is>
          <t>Мексика</t>
        </is>
      </c>
      <c r="C282" s="11" t="inlineStr">
        <is>
          <t>AndesCargo</t>
        </is>
      </c>
      <c r="D282" s="11" t="inlineStr">
        <is>
          <t>AC96554179</t>
        </is>
      </c>
      <c r="E282" s="12" t="n">
        <v>46303</v>
      </c>
      <c r="F282" s="11" t="inlineStr">
        <is>
          <t>In transit</t>
        </is>
      </c>
      <c r="G282" s="13" t="n">
        <v>46307</v>
      </c>
      <c r="H282" s="5">
        <f>IF(G282="","",Rules!$B$1-G282)</f>
        <v/>
      </c>
      <c r="I282" s="5">
        <f>IF(F282="Address issue","address issue",IF(OR(F282="Delivered",F282="Returned to sender",G282=""),"",IF(AND(Rules!$B$3&lt;&gt;"",F282="Held at customs",H282&gt;=Rules!$B$3),"customs &gt;= "&amp;Rules!$B$3&amp;" days",IF(H282&gt;=Rules!$B$2,"idle &gt;= "&amp;Rules!$B$2&amp;" days",""))))</f>
        <v/>
      </c>
      <c r="J282" s="5">
        <f>IF(I282="","",IF(F282="Address issue",0,COUNTIF($I$2:$I$1001,"address issue"))+COUNTIFS($I$2:$I$1001,"?*",$F$2:$F$1001,IF(F282="Address issue","Address issue","&lt;&gt;Address issue"),$H$2:$H$1001,"&gt;"&amp;H282)+1)</f>
        <v/>
      </c>
    </row>
    <row r="283">
      <c r="A283" s="11" t="n">
        <v>100282</v>
      </c>
      <c r="B283" s="11" t="inlineStr">
        <is>
          <t>Бразилія</t>
        </is>
      </c>
      <c r="C283" s="11" t="inlineStr">
        <is>
          <t>SwiftParcel</t>
        </is>
      </c>
      <c r="D283" s="11" t="inlineStr">
        <is>
          <t>SP6990753</t>
        </is>
      </c>
      <c r="E283" s="12" t="n">
        <v>46298</v>
      </c>
      <c r="F283" s="11" t="inlineStr">
        <is>
          <t>Delivered</t>
        </is>
      </c>
      <c r="G283" s="13" t="n">
        <v>46308</v>
      </c>
      <c r="H283" s="5">
        <f>IF(G283="","",Rules!$B$1-G283)</f>
        <v/>
      </c>
      <c r="I283" s="5">
        <f>IF(F283="Address issue","address issue",IF(OR(F283="Delivered",F283="Returned to sender",G283=""),"",IF(AND(Rules!$B$3&lt;&gt;"",F283="Held at customs",H283&gt;=Rules!$B$3),"customs &gt;= "&amp;Rules!$B$3&amp;" days",IF(H283&gt;=Rules!$B$2,"idle &gt;= "&amp;Rules!$B$2&amp;" days",""))))</f>
        <v/>
      </c>
      <c r="J283" s="5">
        <f>IF(I283="","",IF(F283="Address issue",0,COUNTIF($I$2:$I$1001,"address issue"))+COUNTIFS($I$2:$I$1001,"?*",$F$2:$F$1001,IF(F283="Address issue","Address issue","&lt;&gt;Address issue"),$H$2:$H$1001,"&gt;"&amp;H283)+1)</f>
        <v/>
      </c>
    </row>
    <row r="284">
      <c r="A284" s="11" t="n">
        <v>100283</v>
      </c>
      <c r="B284" s="11" t="inlineStr">
        <is>
          <t>Бразилія</t>
        </is>
      </c>
      <c r="C284" s="11" t="inlineStr">
        <is>
          <t>SwiftParcel</t>
        </is>
      </c>
      <c r="D284" s="11" t="inlineStr">
        <is>
          <t>SP7108078</t>
        </is>
      </c>
      <c r="E284" s="12" t="n">
        <v>46278</v>
      </c>
      <c r="F284" s="11" t="inlineStr">
        <is>
          <t>Delivered</t>
        </is>
      </c>
      <c r="G284" s="12" t="n">
        <v>46281</v>
      </c>
      <c r="H284" s="5">
        <f>IF(G284="","",Rules!$B$1-G284)</f>
        <v/>
      </c>
      <c r="I284" s="5">
        <f>IF(F284="Address issue","address issue",IF(OR(F284="Delivered",F284="Returned to sender",G284=""),"",IF(AND(Rules!$B$3&lt;&gt;"",F284="Held at customs",H284&gt;=Rules!$B$3),"customs &gt;= "&amp;Rules!$B$3&amp;" days",IF(H284&gt;=Rules!$B$2,"idle &gt;= "&amp;Rules!$B$2&amp;" days",""))))</f>
        <v/>
      </c>
      <c r="J284" s="5">
        <f>IF(I284="","",IF(F284="Address issue",0,COUNTIF($I$2:$I$1001,"address issue"))+COUNTIFS($I$2:$I$1001,"?*",$F$2:$F$1001,IF(F284="Address issue","Address issue","&lt;&gt;Address issue"),$H$2:$H$1001,"&gt;"&amp;H284)+1)</f>
        <v/>
      </c>
    </row>
    <row r="285">
      <c r="A285" s="11" t="n">
        <v>100284</v>
      </c>
      <c r="B285" s="11" t="inlineStr">
        <is>
          <t>Мексика</t>
        </is>
      </c>
      <c r="C285" s="11" t="inlineStr">
        <is>
          <t>AndesCargo</t>
        </is>
      </c>
      <c r="D285" s="11" t="inlineStr">
        <is>
          <t>AC86338188</t>
        </is>
      </c>
      <c r="E285" s="13" t="n">
        <v>46305</v>
      </c>
      <c r="F285" s="11" t="inlineStr">
        <is>
          <t>Label created</t>
        </is>
      </c>
      <c r="G285" s="13" t="n">
        <v>46305</v>
      </c>
      <c r="H285" s="5">
        <f>IF(G285="","",Rules!$B$1-G285)</f>
        <v/>
      </c>
      <c r="I285" s="5">
        <f>IF(F285="Address issue","address issue",IF(OR(F285="Delivered",F285="Returned to sender",G285=""),"",IF(AND(Rules!$B$3&lt;&gt;"",F285="Held at customs",H285&gt;=Rules!$B$3),"customs &gt;= "&amp;Rules!$B$3&amp;" days",IF(H285&gt;=Rules!$B$2,"idle &gt;= "&amp;Rules!$B$2&amp;" days",""))))</f>
        <v/>
      </c>
      <c r="J285" s="5">
        <f>IF(I285="","",IF(F285="Address issue",0,COUNTIF($I$2:$I$1001,"address issue"))+COUNTIFS($I$2:$I$1001,"?*",$F$2:$F$1001,IF(F285="Address issue","Address issue","&lt;&gt;Address issue"),$H$2:$H$1001,"&gt;"&amp;H285)+1)</f>
        <v/>
      </c>
    </row>
    <row r="286">
      <c r="A286" s="11" t="n">
        <v>100285</v>
      </c>
      <c r="B286" s="11" t="inlineStr">
        <is>
          <t>Бразилія</t>
        </is>
      </c>
      <c r="C286" s="11" t="inlineStr">
        <is>
          <t>SwiftParcel</t>
        </is>
      </c>
      <c r="D286" s="11" t="inlineStr">
        <is>
          <t>SP1996460</t>
        </is>
      </c>
      <c r="E286" s="12" t="n">
        <v>46291</v>
      </c>
      <c r="F286" s="11" t="inlineStr">
        <is>
          <t>Delivered</t>
        </is>
      </c>
      <c r="G286" s="12" t="n">
        <v>46303</v>
      </c>
      <c r="H286" s="5">
        <f>IF(G286="","",Rules!$B$1-G286)</f>
        <v/>
      </c>
      <c r="I286" s="5">
        <f>IF(F286="Address issue","address issue",IF(OR(F286="Delivered",F286="Returned to sender",G286=""),"",IF(AND(Rules!$B$3&lt;&gt;"",F286="Held at customs",H286&gt;=Rules!$B$3),"customs &gt;= "&amp;Rules!$B$3&amp;" days",IF(H286&gt;=Rules!$B$2,"idle &gt;= "&amp;Rules!$B$2&amp;" days",""))))</f>
        <v/>
      </c>
      <c r="J286" s="5">
        <f>IF(I286="","",IF(F286="Address issue",0,COUNTIF($I$2:$I$1001,"address issue"))+COUNTIFS($I$2:$I$1001,"?*",$F$2:$F$1001,IF(F286="Address issue","Address issue","&lt;&gt;Address issue"),$H$2:$H$1001,"&gt;"&amp;H286)+1)</f>
        <v/>
      </c>
    </row>
    <row r="287">
      <c r="A287" s="11" t="n">
        <v>100286</v>
      </c>
      <c r="B287" s="11" t="inlineStr">
        <is>
          <t>Мексика</t>
        </is>
      </c>
      <c r="C287" s="11" t="inlineStr">
        <is>
          <t>AndesCargo</t>
        </is>
      </c>
      <c r="D287" s="11" t="inlineStr">
        <is>
          <t>AC72534657</t>
        </is>
      </c>
      <c r="E287" s="12" t="n">
        <v>46295</v>
      </c>
      <c r="F287" s="11" t="inlineStr">
        <is>
          <t>Delivered</t>
        </is>
      </c>
      <c r="G287" s="12" t="n">
        <v>46304</v>
      </c>
      <c r="H287" s="5">
        <f>IF(G287="","",Rules!$B$1-G287)</f>
        <v/>
      </c>
      <c r="I287" s="5">
        <f>IF(F287="Address issue","address issue",IF(OR(F287="Delivered",F287="Returned to sender",G287=""),"",IF(AND(Rules!$B$3&lt;&gt;"",F287="Held at customs",H287&gt;=Rules!$B$3),"customs &gt;= "&amp;Rules!$B$3&amp;" days",IF(H287&gt;=Rules!$B$2,"idle &gt;= "&amp;Rules!$B$2&amp;" days",""))))</f>
        <v/>
      </c>
      <c r="J287" s="5">
        <f>IF(I287="","",IF(F287="Address issue",0,COUNTIF($I$2:$I$1001,"address issue"))+COUNTIFS($I$2:$I$1001,"?*",$F$2:$F$1001,IF(F287="Address issue","Address issue","&lt;&gt;Address issue"),$H$2:$H$1001,"&gt;"&amp;H287)+1)</f>
        <v/>
      </c>
    </row>
    <row r="288">
      <c r="A288" s="11" t="n">
        <v>100287</v>
      </c>
      <c r="B288" s="11" t="inlineStr">
        <is>
          <t>Мексика</t>
        </is>
      </c>
      <c r="C288" s="11" t="inlineStr">
        <is>
          <t>AndesCargo</t>
        </is>
      </c>
      <c r="D288" s="11" t="inlineStr">
        <is>
          <t>AC27668280</t>
        </is>
      </c>
      <c r="E288" s="12" t="n">
        <v>46297</v>
      </c>
      <c r="F288" s="11" t="inlineStr">
        <is>
          <t>Delivered</t>
        </is>
      </c>
      <c r="G288" s="13" t="n">
        <v>46305</v>
      </c>
      <c r="H288" s="5">
        <f>IF(G288="","",Rules!$B$1-G288)</f>
        <v/>
      </c>
      <c r="I288" s="5">
        <f>IF(F288="Address issue","address issue",IF(OR(F288="Delivered",F288="Returned to sender",G288=""),"",IF(AND(Rules!$B$3&lt;&gt;"",F288="Held at customs",H288&gt;=Rules!$B$3),"customs &gt;= "&amp;Rules!$B$3&amp;" days",IF(H288&gt;=Rules!$B$2,"idle &gt;= "&amp;Rules!$B$2&amp;" days",""))))</f>
        <v/>
      </c>
      <c r="J288" s="5">
        <f>IF(I288="","",IF(F288="Address issue",0,COUNTIF($I$2:$I$1001,"address issue"))+COUNTIFS($I$2:$I$1001,"?*",$F$2:$F$1001,IF(F288="Address issue","Address issue","&lt;&gt;Address issue"),$H$2:$H$1001,"&gt;"&amp;H288)+1)</f>
        <v/>
      </c>
    </row>
    <row r="289">
      <c r="A289" s="11" t="n">
        <v>100288</v>
      </c>
      <c r="B289" s="11" t="inlineStr">
        <is>
          <t>Бразилія</t>
        </is>
      </c>
      <c r="C289" s="11" t="inlineStr">
        <is>
          <t>SwiftParcel</t>
        </is>
      </c>
      <c r="D289" s="11" t="inlineStr">
        <is>
          <t>SP4930114</t>
        </is>
      </c>
      <c r="E289" s="12" t="n">
        <v>46296</v>
      </c>
      <c r="F289" s="11" t="inlineStr">
        <is>
          <t>Address issue</t>
        </is>
      </c>
      <c r="G289" s="12" t="n">
        <v>46301</v>
      </c>
      <c r="H289" s="5">
        <f>IF(G289="","",Rules!$B$1-G289)</f>
        <v/>
      </c>
      <c r="I289" s="5">
        <f>IF(F289="Address issue","address issue",IF(OR(F289="Delivered",F289="Returned to sender",G289=""),"",IF(AND(Rules!$B$3&lt;&gt;"",F289="Held at customs",H289&gt;=Rules!$B$3),"customs &gt;= "&amp;Rules!$B$3&amp;" days",IF(H289&gt;=Rules!$B$2,"idle &gt;= "&amp;Rules!$B$2&amp;" days",""))))</f>
        <v/>
      </c>
      <c r="J289" s="5">
        <f>IF(I289="","",IF(F289="Address issue",0,COUNTIF($I$2:$I$1001,"address issue"))+COUNTIFS($I$2:$I$1001,"?*",$F$2:$F$1001,IF(F289="Address issue","Address issue","&lt;&gt;Address issue"),$H$2:$H$1001,"&gt;"&amp;H289)+1)</f>
        <v/>
      </c>
    </row>
    <row r="290">
      <c r="A290" s="11" t="n">
        <v>100289</v>
      </c>
      <c r="B290" s="11" t="inlineStr">
        <is>
          <t>Мексика</t>
        </is>
      </c>
      <c r="C290" s="11" t="inlineStr">
        <is>
          <t>AndesCargo</t>
        </is>
      </c>
      <c r="D290" s="11" t="inlineStr">
        <is>
          <t>AC84104840</t>
        </is>
      </c>
      <c r="E290" s="12" t="n">
        <v>46285</v>
      </c>
      <c r="F290" s="11" t="inlineStr">
        <is>
          <t>Delivered</t>
        </is>
      </c>
      <c r="G290" s="12" t="n">
        <v>46296</v>
      </c>
      <c r="H290" s="5">
        <f>IF(G290="","",Rules!$B$1-G290)</f>
        <v/>
      </c>
      <c r="I290" s="5">
        <f>IF(F290="Address issue","address issue",IF(OR(F290="Delivered",F290="Returned to sender",G290=""),"",IF(AND(Rules!$B$3&lt;&gt;"",F290="Held at customs",H290&gt;=Rules!$B$3),"customs &gt;= "&amp;Rules!$B$3&amp;" days",IF(H290&gt;=Rules!$B$2,"idle &gt;= "&amp;Rules!$B$2&amp;" days",""))))</f>
        <v/>
      </c>
      <c r="J290" s="5">
        <f>IF(I290="","",IF(F290="Address issue",0,COUNTIF($I$2:$I$1001,"address issue"))+COUNTIFS($I$2:$I$1001,"?*",$F$2:$F$1001,IF(F290="Address issue","Address issue","&lt;&gt;Address issue"),$H$2:$H$1001,"&gt;"&amp;H290)+1)</f>
        <v/>
      </c>
    </row>
    <row r="291">
      <c r="A291" s="11" t="n">
        <v>100290</v>
      </c>
      <c r="B291" s="11" t="inlineStr">
        <is>
          <t>Мексика</t>
        </is>
      </c>
      <c r="C291" s="11" t="inlineStr">
        <is>
          <t>AndesCargo</t>
        </is>
      </c>
      <c r="D291" s="11" t="inlineStr">
        <is>
          <t>AC89462236</t>
        </is>
      </c>
      <c r="E291" s="12" t="n">
        <v>46287</v>
      </c>
      <c r="F291" s="11" t="inlineStr">
        <is>
          <t>Delivered</t>
        </is>
      </c>
      <c r="G291" s="12" t="n">
        <v>46294</v>
      </c>
      <c r="H291" s="5">
        <f>IF(G291="","",Rules!$B$1-G291)</f>
        <v/>
      </c>
      <c r="I291" s="5">
        <f>IF(F291="Address issue","address issue",IF(OR(F291="Delivered",F291="Returned to sender",G291=""),"",IF(AND(Rules!$B$3&lt;&gt;"",F291="Held at customs",H291&gt;=Rules!$B$3),"customs &gt;= "&amp;Rules!$B$3&amp;" days",IF(H291&gt;=Rules!$B$2,"idle &gt;= "&amp;Rules!$B$2&amp;" days",""))))</f>
        <v/>
      </c>
      <c r="J291" s="5">
        <f>IF(I291="","",IF(F291="Address issue",0,COUNTIF($I$2:$I$1001,"address issue"))+COUNTIFS($I$2:$I$1001,"?*",$F$2:$F$1001,IF(F291="Address issue","Address issue","&lt;&gt;Address issue"),$H$2:$H$1001,"&gt;"&amp;H291)+1)</f>
        <v/>
      </c>
    </row>
    <row r="292">
      <c r="A292" s="11" t="n">
        <v>100291</v>
      </c>
      <c r="B292" s="11" t="inlineStr">
        <is>
          <t>Мексика</t>
        </is>
      </c>
      <c r="C292" s="11" t="inlineStr">
        <is>
          <t>SwiftParcel</t>
        </is>
      </c>
      <c r="D292" s="11" t="inlineStr">
        <is>
          <t>SP1108020</t>
        </is>
      </c>
      <c r="E292" s="12" t="n">
        <v>46284</v>
      </c>
      <c r="F292" s="11" t="inlineStr">
        <is>
          <t>Delivered</t>
        </is>
      </c>
      <c r="G292" s="12" t="n">
        <v>46289</v>
      </c>
      <c r="H292" s="5">
        <f>IF(G292="","",Rules!$B$1-G292)</f>
        <v/>
      </c>
      <c r="I292" s="5">
        <f>IF(F292="Address issue","address issue",IF(OR(F292="Delivered",F292="Returned to sender",G292=""),"",IF(AND(Rules!$B$3&lt;&gt;"",F292="Held at customs",H292&gt;=Rules!$B$3),"customs &gt;= "&amp;Rules!$B$3&amp;" days",IF(H292&gt;=Rules!$B$2,"idle &gt;= "&amp;Rules!$B$2&amp;" days",""))))</f>
        <v/>
      </c>
      <c r="J292" s="5">
        <f>IF(I292="","",IF(F292="Address issue",0,COUNTIF($I$2:$I$1001,"address issue"))+COUNTIFS($I$2:$I$1001,"?*",$F$2:$F$1001,IF(F292="Address issue","Address issue","&lt;&gt;Address issue"),$H$2:$H$1001,"&gt;"&amp;H292)+1)</f>
        <v/>
      </c>
    </row>
    <row r="293">
      <c r="A293" s="11" t="n">
        <v>100292</v>
      </c>
      <c r="B293" s="11" t="inlineStr">
        <is>
          <t>Мексика</t>
        </is>
      </c>
      <c r="C293" s="11" t="inlineStr">
        <is>
          <t>AndesCargo</t>
        </is>
      </c>
      <c r="D293" s="11" t="inlineStr">
        <is>
          <t>AC97875466</t>
        </is>
      </c>
      <c r="E293" s="12" t="n">
        <v>46288</v>
      </c>
      <c r="F293" s="11" t="inlineStr">
        <is>
          <t>Delivered</t>
        </is>
      </c>
      <c r="G293" s="12" t="n">
        <v>46297</v>
      </c>
      <c r="H293" s="5">
        <f>IF(G293="","",Rules!$B$1-G293)</f>
        <v/>
      </c>
      <c r="I293" s="5">
        <f>IF(F293="Address issue","address issue",IF(OR(F293="Delivered",F293="Returned to sender",G293=""),"",IF(AND(Rules!$B$3&lt;&gt;"",F293="Held at customs",H293&gt;=Rules!$B$3),"customs &gt;= "&amp;Rules!$B$3&amp;" days",IF(H293&gt;=Rules!$B$2,"idle &gt;= "&amp;Rules!$B$2&amp;" days",""))))</f>
        <v/>
      </c>
      <c r="J293" s="5">
        <f>IF(I293="","",IF(F293="Address issue",0,COUNTIF($I$2:$I$1001,"address issue"))+COUNTIFS($I$2:$I$1001,"?*",$F$2:$F$1001,IF(F293="Address issue","Address issue","&lt;&gt;Address issue"),$H$2:$H$1001,"&gt;"&amp;H293)+1)</f>
        <v/>
      </c>
    </row>
    <row r="294">
      <c r="A294" s="11" t="n">
        <v>100293</v>
      </c>
      <c r="B294" s="11" t="inlineStr">
        <is>
          <t>Бразилія</t>
        </is>
      </c>
      <c r="C294" s="11" t="inlineStr">
        <is>
          <t>SwiftParcel</t>
        </is>
      </c>
      <c r="D294" s="11" t="inlineStr">
        <is>
          <t>SP8539797</t>
        </is>
      </c>
      <c r="E294" s="12" t="n">
        <v>46272</v>
      </c>
      <c r="F294" s="11" t="inlineStr">
        <is>
          <t>Delivered</t>
        </is>
      </c>
      <c r="G294" s="12" t="n">
        <v>46282</v>
      </c>
      <c r="H294" s="5">
        <f>IF(G294="","",Rules!$B$1-G294)</f>
        <v/>
      </c>
      <c r="I294" s="5">
        <f>IF(F294="Address issue","address issue",IF(OR(F294="Delivered",F294="Returned to sender",G294=""),"",IF(AND(Rules!$B$3&lt;&gt;"",F294="Held at customs",H294&gt;=Rules!$B$3),"customs &gt;= "&amp;Rules!$B$3&amp;" days",IF(H294&gt;=Rules!$B$2,"idle &gt;= "&amp;Rules!$B$2&amp;" days",""))))</f>
        <v/>
      </c>
      <c r="J294" s="5">
        <f>IF(I294="","",IF(F294="Address issue",0,COUNTIF($I$2:$I$1001,"address issue"))+COUNTIFS($I$2:$I$1001,"?*",$F$2:$F$1001,IF(F294="Address issue","Address issue","&lt;&gt;Address issue"),$H$2:$H$1001,"&gt;"&amp;H294)+1)</f>
        <v/>
      </c>
    </row>
    <row r="295">
      <c r="A295" s="11" t="n">
        <v>100294</v>
      </c>
      <c r="B295" s="11" t="inlineStr">
        <is>
          <t>Мексика</t>
        </is>
      </c>
      <c r="C295" s="11" t="inlineStr">
        <is>
          <t>SwiftParcel</t>
        </is>
      </c>
      <c r="D295" s="11" t="inlineStr">
        <is>
          <t>SP1906386</t>
        </is>
      </c>
      <c r="E295" s="12" t="n">
        <v>46278</v>
      </c>
      <c r="F295" s="11" t="inlineStr">
        <is>
          <t>Delivered</t>
        </is>
      </c>
      <c r="G295" s="12" t="n">
        <v>46284</v>
      </c>
      <c r="H295" s="5">
        <f>IF(G295="","",Rules!$B$1-G295)</f>
        <v/>
      </c>
      <c r="I295" s="5">
        <f>IF(F295="Address issue","address issue",IF(OR(F295="Delivered",F295="Returned to sender",G295=""),"",IF(AND(Rules!$B$3&lt;&gt;"",F295="Held at customs",H295&gt;=Rules!$B$3),"customs &gt;= "&amp;Rules!$B$3&amp;" days",IF(H295&gt;=Rules!$B$2,"idle &gt;= "&amp;Rules!$B$2&amp;" days",""))))</f>
        <v/>
      </c>
      <c r="J295" s="5">
        <f>IF(I295="","",IF(F295="Address issue",0,COUNTIF($I$2:$I$1001,"address issue"))+COUNTIFS($I$2:$I$1001,"?*",$F$2:$F$1001,IF(F295="Address issue","Address issue","&lt;&gt;Address issue"),$H$2:$H$1001,"&gt;"&amp;H295)+1)</f>
        <v/>
      </c>
    </row>
    <row r="296">
      <c r="A296" s="11" t="n">
        <v>100295</v>
      </c>
      <c r="B296" s="11" t="inlineStr">
        <is>
          <t>Бразилія</t>
        </is>
      </c>
      <c r="C296" s="11" t="inlineStr">
        <is>
          <t>SwiftParcel</t>
        </is>
      </c>
      <c r="D296" s="11" t="inlineStr">
        <is>
          <t>SP3303654</t>
        </is>
      </c>
      <c r="E296" s="12" t="n">
        <v>46284</v>
      </c>
      <c r="F296" s="11" t="inlineStr">
        <is>
          <t>Delivered</t>
        </is>
      </c>
      <c r="G296" s="12" t="n">
        <v>46293</v>
      </c>
      <c r="H296" s="5">
        <f>IF(G296="","",Rules!$B$1-G296)</f>
        <v/>
      </c>
      <c r="I296" s="5">
        <f>IF(F296="Address issue","address issue",IF(OR(F296="Delivered",F296="Returned to sender",G296=""),"",IF(AND(Rules!$B$3&lt;&gt;"",F296="Held at customs",H296&gt;=Rules!$B$3),"customs &gt;= "&amp;Rules!$B$3&amp;" days",IF(H296&gt;=Rules!$B$2,"idle &gt;= "&amp;Rules!$B$2&amp;" days",""))))</f>
        <v/>
      </c>
      <c r="J296" s="5">
        <f>IF(I296="","",IF(F296="Address issue",0,COUNTIF($I$2:$I$1001,"address issue"))+COUNTIFS($I$2:$I$1001,"?*",$F$2:$F$1001,IF(F296="Address issue","Address issue","&lt;&gt;Address issue"),$H$2:$H$1001,"&gt;"&amp;H296)+1)</f>
        <v/>
      </c>
    </row>
    <row r="297">
      <c r="A297" s="11" t="n">
        <v>100296</v>
      </c>
      <c r="B297" s="11" t="inlineStr">
        <is>
          <t>Мексика</t>
        </is>
      </c>
      <c r="C297" s="11" t="inlineStr">
        <is>
          <t>AndesCargo</t>
        </is>
      </c>
      <c r="D297" s="11" t="inlineStr">
        <is>
          <t>AC89667459</t>
        </is>
      </c>
      <c r="E297" s="12" t="n">
        <v>46285</v>
      </c>
      <c r="F297" s="11" t="inlineStr">
        <is>
          <t>Delivered</t>
        </is>
      </c>
      <c r="G297" s="12" t="n">
        <v>46296</v>
      </c>
      <c r="H297" s="5">
        <f>IF(G297="","",Rules!$B$1-G297)</f>
        <v/>
      </c>
      <c r="I297" s="5">
        <f>IF(F297="Address issue","address issue",IF(OR(F297="Delivered",F297="Returned to sender",G297=""),"",IF(AND(Rules!$B$3&lt;&gt;"",F297="Held at customs",H297&gt;=Rules!$B$3),"customs &gt;= "&amp;Rules!$B$3&amp;" days",IF(H297&gt;=Rules!$B$2,"idle &gt;= "&amp;Rules!$B$2&amp;" days",""))))</f>
        <v/>
      </c>
      <c r="J297" s="5">
        <f>IF(I297="","",IF(F297="Address issue",0,COUNTIF($I$2:$I$1001,"address issue"))+COUNTIFS($I$2:$I$1001,"?*",$F$2:$F$1001,IF(F297="Address issue","Address issue","&lt;&gt;Address issue"),$H$2:$H$1001,"&gt;"&amp;H297)+1)</f>
        <v/>
      </c>
    </row>
    <row r="298">
      <c r="A298" s="11" t="n">
        <v>100297</v>
      </c>
      <c r="B298" s="11" t="inlineStr">
        <is>
          <t>Канада</t>
        </is>
      </c>
      <c r="C298" s="11" t="inlineStr">
        <is>
          <t>PostLink</t>
        </is>
      </c>
      <c r="D298" s="11" t="inlineStr">
        <is>
          <t>PL75537048</t>
        </is>
      </c>
      <c r="E298" s="12" t="n">
        <v>46282</v>
      </c>
      <c r="F298" s="11" t="inlineStr">
        <is>
          <t>Delivered</t>
        </is>
      </c>
      <c r="G298" s="12" t="n">
        <v>46292</v>
      </c>
      <c r="H298" s="5">
        <f>IF(G298="","",Rules!$B$1-G298)</f>
        <v/>
      </c>
      <c r="I298" s="5">
        <f>IF(F298="Address issue","address issue",IF(OR(F298="Delivered",F298="Returned to sender",G298=""),"",IF(AND(Rules!$B$3&lt;&gt;"",F298="Held at customs",H298&gt;=Rules!$B$3),"customs &gt;= "&amp;Rules!$B$3&amp;" days",IF(H298&gt;=Rules!$B$2,"idle &gt;= "&amp;Rules!$B$2&amp;" days",""))))</f>
        <v/>
      </c>
      <c r="J298" s="5">
        <f>IF(I298="","",IF(F298="Address issue",0,COUNTIF($I$2:$I$1001,"address issue"))+COUNTIFS($I$2:$I$1001,"?*",$F$2:$F$1001,IF(F298="Address issue","Address issue","&lt;&gt;Address issue"),$H$2:$H$1001,"&gt;"&amp;H298)+1)</f>
        <v/>
      </c>
    </row>
    <row r="299">
      <c r="A299" s="11" t="n">
        <v>100298</v>
      </c>
      <c r="B299" s="11" t="inlineStr">
        <is>
          <t>Мексика</t>
        </is>
      </c>
      <c r="C299" s="11" t="inlineStr">
        <is>
          <t>AndesCargo</t>
        </is>
      </c>
      <c r="D299" s="11" t="inlineStr">
        <is>
          <t>AC90246909</t>
        </is>
      </c>
      <c r="E299" s="12" t="n">
        <v>46294</v>
      </c>
      <c r="F299" s="11" t="inlineStr">
        <is>
          <t>Held at customs</t>
        </is>
      </c>
      <c r="G299" s="12" t="n">
        <v>46297</v>
      </c>
      <c r="H299" s="5">
        <f>IF(G299="","",Rules!$B$1-G299)</f>
        <v/>
      </c>
      <c r="I299" s="5">
        <f>IF(F299="Address issue","address issue",IF(OR(F299="Delivered",F299="Returned to sender",G299=""),"",IF(AND(Rules!$B$3&lt;&gt;"",F299="Held at customs",H299&gt;=Rules!$B$3),"customs &gt;= "&amp;Rules!$B$3&amp;" days",IF(H299&gt;=Rules!$B$2,"idle &gt;= "&amp;Rules!$B$2&amp;" days",""))))</f>
        <v/>
      </c>
      <c r="J299" s="5">
        <f>IF(I299="","",IF(F299="Address issue",0,COUNTIF($I$2:$I$1001,"address issue"))+COUNTIFS($I$2:$I$1001,"?*",$F$2:$F$1001,IF(F299="Address issue","Address issue","&lt;&gt;Address issue"),$H$2:$H$1001,"&gt;"&amp;H299)+1)</f>
        <v/>
      </c>
    </row>
    <row r="300">
      <c r="A300" s="11" t="n">
        <v>100299</v>
      </c>
      <c r="B300" s="11" t="inlineStr">
        <is>
          <t>Бразилія</t>
        </is>
      </c>
      <c r="C300" s="11" t="inlineStr">
        <is>
          <t>SwiftParcel</t>
        </is>
      </c>
      <c r="D300" s="11" t="inlineStr">
        <is>
          <t>SP2089302</t>
        </is>
      </c>
      <c r="E300" s="13" t="n">
        <v>46308</v>
      </c>
      <c r="F300" s="11" t="inlineStr">
        <is>
          <t>Held at customs</t>
        </is>
      </c>
      <c r="G300" s="13" t="n">
        <v>46309</v>
      </c>
      <c r="H300" s="5">
        <f>IF(G300="","",Rules!$B$1-G300)</f>
        <v/>
      </c>
      <c r="I300" s="5">
        <f>IF(F300="Address issue","address issue",IF(OR(F300="Delivered",F300="Returned to sender",G300=""),"",IF(AND(Rules!$B$3&lt;&gt;"",F300="Held at customs",H300&gt;=Rules!$B$3),"customs &gt;= "&amp;Rules!$B$3&amp;" days",IF(H300&gt;=Rules!$B$2,"idle &gt;= "&amp;Rules!$B$2&amp;" days",""))))</f>
        <v/>
      </c>
      <c r="J300" s="5">
        <f>IF(I300="","",IF(F300="Address issue",0,COUNTIF($I$2:$I$1001,"address issue"))+COUNTIFS($I$2:$I$1001,"?*",$F$2:$F$1001,IF(F300="Address issue","Address issue","&lt;&gt;Address issue"),$H$2:$H$1001,"&gt;"&amp;H300)+1)</f>
        <v/>
      </c>
    </row>
    <row r="301">
      <c r="A301" s="11" t="n">
        <v>100300</v>
      </c>
      <c r="B301" s="11" t="inlineStr">
        <is>
          <t>Мексика</t>
        </is>
      </c>
      <c r="C301" s="11" t="inlineStr">
        <is>
          <t>SwiftParcel</t>
        </is>
      </c>
      <c r="D301" s="11" t="inlineStr">
        <is>
          <t>SP6625345</t>
        </is>
      </c>
      <c r="E301" s="12" t="n">
        <v>46300</v>
      </c>
      <c r="F301" s="11" t="inlineStr">
        <is>
          <t>In transit</t>
        </is>
      </c>
      <c r="G301" s="13" t="n">
        <v>46308</v>
      </c>
      <c r="H301" s="5">
        <f>IF(G301="","",Rules!$B$1-G301)</f>
        <v/>
      </c>
      <c r="I301" s="5">
        <f>IF(F301="Address issue","address issue",IF(OR(F301="Delivered",F301="Returned to sender",G301=""),"",IF(AND(Rules!$B$3&lt;&gt;"",F301="Held at customs",H301&gt;=Rules!$B$3),"customs &gt;= "&amp;Rules!$B$3&amp;" days",IF(H301&gt;=Rules!$B$2,"idle &gt;= "&amp;Rules!$B$2&amp;" days",""))))</f>
        <v/>
      </c>
      <c r="J301" s="5">
        <f>IF(I301="","",IF(F301="Address issue",0,COUNTIF($I$2:$I$1001,"address issue"))+COUNTIFS($I$2:$I$1001,"?*",$F$2:$F$1001,IF(F301="Address issue","Address issue","&lt;&gt;Address issue"),$H$2:$H$1001,"&gt;"&amp;H301)+1)</f>
        <v/>
      </c>
    </row>
    <row r="302">
      <c r="A302" s="11" t="n">
        <v>100301</v>
      </c>
      <c r="B302" s="11" t="inlineStr">
        <is>
          <t>Бразилія</t>
        </is>
      </c>
      <c r="C302" s="11" t="inlineStr">
        <is>
          <t>AndesCargo</t>
        </is>
      </c>
      <c r="D302" s="11" t="inlineStr">
        <is>
          <t>AC47339187</t>
        </is>
      </c>
      <c r="E302" s="12" t="n">
        <v>46299</v>
      </c>
      <c r="F302" s="11" t="inlineStr">
        <is>
          <t>Delivered</t>
        </is>
      </c>
      <c r="G302" s="13" t="n">
        <v>46309</v>
      </c>
      <c r="H302" s="5">
        <f>IF(G302="","",Rules!$B$1-G302)</f>
        <v/>
      </c>
      <c r="I302" s="5">
        <f>IF(F302="Address issue","address issue",IF(OR(F302="Delivered",F302="Returned to sender",G302=""),"",IF(AND(Rules!$B$3&lt;&gt;"",F302="Held at customs",H302&gt;=Rules!$B$3),"customs &gt;= "&amp;Rules!$B$3&amp;" days",IF(H302&gt;=Rules!$B$2,"idle &gt;= "&amp;Rules!$B$2&amp;" days",""))))</f>
        <v/>
      </c>
      <c r="J302" s="5">
        <f>IF(I302="","",IF(F302="Address issue",0,COUNTIF($I$2:$I$1001,"address issue"))+COUNTIFS($I$2:$I$1001,"?*",$F$2:$F$1001,IF(F302="Address issue","Address issue","&lt;&gt;Address issue"),$H$2:$H$1001,"&gt;"&amp;H302)+1)</f>
        <v/>
      </c>
    </row>
    <row r="303">
      <c r="A303" s="11" t="n">
        <v>100302</v>
      </c>
      <c r="B303" s="11" t="inlineStr">
        <is>
          <t>Бразилія</t>
        </is>
      </c>
      <c r="C303" s="11" t="inlineStr">
        <is>
          <t>AndesCargo</t>
        </is>
      </c>
      <c r="D303" s="11" t="inlineStr">
        <is>
          <t>AC32037475</t>
        </is>
      </c>
      <c r="E303" s="12" t="n">
        <v>46290</v>
      </c>
      <c r="F303" s="11" t="inlineStr">
        <is>
          <t>Delivered</t>
        </is>
      </c>
      <c r="G303" s="12" t="n">
        <v>46294</v>
      </c>
      <c r="H303" s="5">
        <f>IF(G303="","",Rules!$B$1-G303)</f>
        <v/>
      </c>
      <c r="I303" s="5">
        <f>IF(F303="Address issue","address issue",IF(OR(F303="Delivered",F303="Returned to sender",G303=""),"",IF(AND(Rules!$B$3&lt;&gt;"",F303="Held at customs",H303&gt;=Rules!$B$3),"customs &gt;= "&amp;Rules!$B$3&amp;" days",IF(H303&gt;=Rules!$B$2,"idle &gt;= "&amp;Rules!$B$2&amp;" days",""))))</f>
        <v/>
      </c>
      <c r="J303" s="5">
        <f>IF(I303="","",IF(F303="Address issue",0,COUNTIF($I$2:$I$1001,"address issue"))+COUNTIFS($I$2:$I$1001,"?*",$F$2:$F$1001,IF(F303="Address issue","Address issue","&lt;&gt;Address issue"),$H$2:$H$1001,"&gt;"&amp;H303)+1)</f>
        <v/>
      </c>
    </row>
    <row r="304">
      <c r="A304" s="11" t="n">
        <v>100303</v>
      </c>
      <c r="B304" s="11" t="inlineStr">
        <is>
          <t>Мексика</t>
        </is>
      </c>
      <c r="C304" s="11" t="inlineStr">
        <is>
          <t>AndesCargo</t>
        </is>
      </c>
      <c r="D304" s="11" t="inlineStr">
        <is>
          <t>AC77850526</t>
        </is>
      </c>
      <c r="E304" s="12" t="n">
        <v>46292</v>
      </c>
      <c r="F304" s="11" t="inlineStr">
        <is>
          <t>Held at customs</t>
        </is>
      </c>
      <c r="G304" s="12" t="n">
        <v>46300</v>
      </c>
      <c r="H304" s="5">
        <f>IF(G304="","",Rules!$B$1-G304)</f>
        <v/>
      </c>
      <c r="I304" s="5">
        <f>IF(F304="Address issue","address issue",IF(OR(F304="Delivered",F304="Returned to sender",G304=""),"",IF(AND(Rules!$B$3&lt;&gt;"",F304="Held at customs",H304&gt;=Rules!$B$3),"customs &gt;= "&amp;Rules!$B$3&amp;" days",IF(H304&gt;=Rules!$B$2,"idle &gt;= "&amp;Rules!$B$2&amp;" days",""))))</f>
        <v/>
      </c>
      <c r="J304" s="5">
        <f>IF(I304="","",IF(F304="Address issue",0,COUNTIF($I$2:$I$1001,"address issue"))+COUNTIFS($I$2:$I$1001,"?*",$F$2:$F$1001,IF(F304="Address issue","Address issue","&lt;&gt;Address issue"),$H$2:$H$1001,"&gt;"&amp;H304)+1)</f>
        <v/>
      </c>
    </row>
    <row r="305">
      <c r="A305" s="11" t="n">
        <v>100304</v>
      </c>
      <c r="B305" s="11" t="inlineStr">
        <is>
          <t>Бразилія</t>
        </is>
      </c>
      <c r="C305" s="11" t="inlineStr">
        <is>
          <t>SwiftParcel</t>
        </is>
      </c>
      <c r="D305" s="11" t="inlineStr">
        <is>
          <t>SP4246340</t>
        </is>
      </c>
      <c r="E305" s="12" t="n">
        <v>46294</v>
      </c>
      <c r="F305" s="11" t="inlineStr">
        <is>
          <t>Delivered</t>
        </is>
      </c>
      <c r="G305" s="13" t="n">
        <v>46306</v>
      </c>
      <c r="H305" s="5">
        <f>IF(G305="","",Rules!$B$1-G305)</f>
        <v/>
      </c>
      <c r="I305" s="5">
        <f>IF(F305="Address issue","address issue",IF(OR(F305="Delivered",F305="Returned to sender",G305=""),"",IF(AND(Rules!$B$3&lt;&gt;"",F305="Held at customs",H305&gt;=Rules!$B$3),"customs &gt;= "&amp;Rules!$B$3&amp;" days",IF(H305&gt;=Rules!$B$2,"idle &gt;= "&amp;Rules!$B$2&amp;" days",""))))</f>
        <v/>
      </c>
      <c r="J305" s="5">
        <f>IF(I305="","",IF(F305="Address issue",0,COUNTIF($I$2:$I$1001,"address issue"))+COUNTIFS($I$2:$I$1001,"?*",$F$2:$F$1001,IF(F305="Address issue","Address issue","&lt;&gt;Address issue"),$H$2:$H$1001,"&gt;"&amp;H305)+1)</f>
        <v/>
      </c>
    </row>
    <row r="306">
      <c r="A306" s="11" t="n">
        <v>100305</v>
      </c>
      <c r="B306" s="11" t="inlineStr">
        <is>
          <t>Бразилія</t>
        </is>
      </c>
      <c r="C306" s="11" t="inlineStr">
        <is>
          <t>SwiftParcel</t>
        </is>
      </c>
      <c r="D306" s="11" t="inlineStr">
        <is>
          <t>SP3613174</t>
        </is>
      </c>
      <c r="E306" s="12" t="n">
        <v>46298</v>
      </c>
      <c r="F306" s="11" t="inlineStr">
        <is>
          <t>Held at customs</t>
        </is>
      </c>
      <c r="G306" s="13" t="n">
        <v>46306</v>
      </c>
      <c r="H306" s="5">
        <f>IF(G306="","",Rules!$B$1-G306)</f>
        <v/>
      </c>
      <c r="I306" s="5">
        <f>IF(F306="Address issue","address issue",IF(OR(F306="Delivered",F306="Returned to sender",G306=""),"",IF(AND(Rules!$B$3&lt;&gt;"",F306="Held at customs",H306&gt;=Rules!$B$3),"customs &gt;= "&amp;Rules!$B$3&amp;" days",IF(H306&gt;=Rules!$B$2,"idle &gt;= "&amp;Rules!$B$2&amp;" days",""))))</f>
        <v/>
      </c>
      <c r="J306" s="5">
        <f>IF(I306="","",IF(F306="Address issue",0,COUNTIF($I$2:$I$1001,"address issue"))+COUNTIFS($I$2:$I$1001,"?*",$F$2:$F$1001,IF(F306="Address issue","Address issue","&lt;&gt;Address issue"),$H$2:$H$1001,"&gt;"&amp;H306)+1)</f>
        <v/>
      </c>
    </row>
    <row r="307">
      <c r="A307" s="11" t="n">
        <v>100306</v>
      </c>
      <c r="B307" s="11" t="inlineStr">
        <is>
          <t>Мексика</t>
        </is>
      </c>
      <c r="C307" s="11" t="inlineStr">
        <is>
          <t>AndesCargo</t>
        </is>
      </c>
      <c r="D307" s="11" t="inlineStr">
        <is>
          <t>AC30361300</t>
        </is>
      </c>
      <c r="E307" s="12" t="n">
        <v>46299</v>
      </c>
      <c r="F307" s="11" t="inlineStr">
        <is>
          <t>Delivered</t>
        </is>
      </c>
      <c r="G307" s="13" t="n">
        <v>46309</v>
      </c>
      <c r="H307" s="5">
        <f>IF(G307="","",Rules!$B$1-G307)</f>
        <v/>
      </c>
      <c r="I307" s="5">
        <f>IF(F307="Address issue","address issue",IF(OR(F307="Delivered",F307="Returned to sender",G307=""),"",IF(AND(Rules!$B$3&lt;&gt;"",F307="Held at customs",H307&gt;=Rules!$B$3),"customs &gt;= "&amp;Rules!$B$3&amp;" days",IF(H307&gt;=Rules!$B$2,"idle &gt;= "&amp;Rules!$B$2&amp;" days",""))))</f>
        <v/>
      </c>
      <c r="J307" s="5">
        <f>IF(I307="","",IF(F307="Address issue",0,COUNTIF($I$2:$I$1001,"address issue"))+COUNTIFS($I$2:$I$1001,"?*",$F$2:$F$1001,IF(F307="Address issue","Address issue","&lt;&gt;Address issue"),$H$2:$H$1001,"&gt;"&amp;H307)+1)</f>
        <v/>
      </c>
    </row>
    <row r="308">
      <c r="A308" s="11" t="n">
        <v>100307</v>
      </c>
      <c r="B308" s="11" t="inlineStr">
        <is>
          <t>Бразилія</t>
        </is>
      </c>
      <c r="C308" s="11" t="inlineStr">
        <is>
          <t>AndesCargo</t>
        </is>
      </c>
      <c r="D308" s="11" t="inlineStr">
        <is>
          <t>AC62013210</t>
        </is>
      </c>
      <c r="E308" s="13" t="n">
        <v>46306</v>
      </c>
      <c r="F308" s="11" t="inlineStr">
        <is>
          <t>In transit</t>
        </is>
      </c>
      <c r="G308" s="13" t="n">
        <v>46307</v>
      </c>
      <c r="H308" s="5">
        <f>IF(G308="","",Rules!$B$1-G308)</f>
        <v/>
      </c>
      <c r="I308" s="5">
        <f>IF(F308="Address issue","address issue",IF(OR(F308="Delivered",F308="Returned to sender",G308=""),"",IF(AND(Rules!$B$3&lt;&gt;"",F308="Held at customs",H308&gt;=Rules!$B$3),"customs &gt;= "&amp;Rules!$B$3&amp;" days",IF(H308&gt;=Rules!$B$2,"idle &gt;= "&amp;Rules!$B$2&amp;" days",""))))</f>
        <v/>
      </c>
      <c r="J308" s="5">
        <f>IF(I308="","",IF(F308="Address issue",0,COUNTIF($I$2:$I$1001,"address issue"))+COUNTIFS($I$2:$I$1001,"?*",$F$2:$F$1001,IF(F308="Address issue","Address issue","&lt;&gt;Address issue"),$H$2:$H$1001,"&gt;"&amp;H308)+1)</f>
        <v/>
      </c>
    </row>
    <row r="309">
      <c r="A309" s="11" t="n">
        <v>100308</v>
      </c>
      <c r="B309" s="11" t="inlineStr">
        <is>
          <t>Канада</t>
        </is>
      </c>
      <c r="C309" s="11" t="inlineStr">
        <is>
          <t>PostLink</t>
        </is>
      </c>
      <c r="D309" s="11" t="inlineStr">
        <is>
          <t>PL96377095</t>
        </is>
      </c>
      <c r="E309" s="12" t="n">
        <v>46280</v>
      </c>
      <c r="F309" s="11" t="inlineStr">
        <is>
          <t>Delivered</t>
        </is>
      </c>
      <c r="G309" s="12" t="n">
        <v>46287</v>
      </c>
      <c r="H309" s="5">
        <f>IF(G309="","",Rules!$B$1-G309)</f>
        <v/>
      </c>
      <c r="I309" s="5">
        <f>IF(F309="Address issue","address issue",IF(OR(F309="Delivered",F309="Returned to sender",G309=""),"",IF(AND(Rules!$B$3&lt;&gt;"",F309="Held at customs",H309&gt;=Rules!$B$3),"customs &gt;= "&amp;Rules!$B$3&amp;" days",IF(H309&gt;=Rules!$B$2,"idle &gt;= "&amp;Rules!$B$2&amp;" days",""))))</f>
        <v/>
      </c>
      <c r="J309" s="5">
        <f>IF(I309="","",IF(F309="Address issue",0,COUNTIF($I$2:$I$1001,"address issue"))+COUNTIFS($I$2:$I$1001,"?*",$F$2:$F$1001,IF(F309="Address issue","Address issue","&lt;&gt;Address issue"),$H$2:$H$1001,"&gt;"&amp;H309)+1)</f>
        <v/>
      </c>
    </row>
    <row r="310">
      <c r="A310" s="11" t="n">
        <v>100309</v>
      </c>
      <c r="B310" s="11" t="inlineStr">
        <is>
          <t>Бразилія</t>
        </is>
      </c>
      <c r="C310" s="11" t="inlineStr">
        <is>
          <t>SwiftParcel</t>
        </is>
      </c>
      <c r="D310" s="11" t="inlineStr">
        <is>
          <t>SP3921677</t>
        </is>
      </c>
      <c r="E310" s="12" t="n">
        <v>46279</v>
      </c>
      <c r="F310" s="11" t="inlineStr">
        <is>
          <t>Delivered</t>
        </is>
      </c>
      <c r="G310" s="12" t="n">
        <v>46286</v>
      </c>
      <c r="H310" s="5">
        <f>IF(G310="","",Rules!$B$1-G310)</f>
        <v/>
      </c>
      <c r="I310" s="5">
        <f>IF(F310="Address issue","address issue",IF(OR(F310="Delivered",F310="Returned to sender",G310=""),"",IF(AND(Rules!$B$3&lt;&gt;"",F310="Held at customs",H310&gt;=Rules!$B$3),"customs &gt;= "&amp;Rules!$B$3&amp;" days",IF(H310&gt;=Rules!$B$2,"idle &gt;= "&amp;Rules!$B$2&amp;" days",""))))</f>
        <v/>
      </c>
      <c r="J310" s="5">
        <f>IF(I310="","",IF(F310="Address issue",0,COUNTIF($I$2:$I$1001,"address issue"))+COUNTIFS($I$2:$I$1001,"?*",$F$2:$F$1001,IF(F310="Address issue","Address issue","&lt;&gt;Address issue"),$H$2:$H$1001,"&gt;"&amp;H310)+1)</f>
        <v/>
      </c>
    </row>
    <row r="311">
      <c r="A311" s="11" t="n">
        <v>100310</v>
      </c>
      <c r="B311" s="11" t="inlineStr">
        <is>
          <t>Бразилія</t>
        </is>
      </c>
      <c r="C311" s="11" t="inlineStr">
        <is>
          <t>SwiftParcel</t>
        </is>
      </c>
      <c r="D311" s="11" t="inlineStr">
        <is>
          <t>SP2769675</t>
        </is>
      </c>
      <c r="E311" s="12" t="n">
        <v>46296</v>
      </c>
      <c r="F311" s="11" t="inlineStr">
        <is>
          <t>Delivered</t>
        </is>
      </c>
      <c r="G311" s="13" t="n">
        <v>46306</v>
      </c>
      <c r="H311" s="5">
        <f>IF(G311="","",Rules!$B$1-G311)</f>
        <v/>
      </c>
      <c r="I311" s="5">
        <f>IF(F311="Address issue","address issue",IF(OR(F311="Delivered",F311="Returned to sender",G311=""),"",IF(AND(Rules!$B$3&lt;&gt;"",F311="Held at customs",H311&gt;=Rules!$B$3),"customs &gt;= "&amp;Rules!$B$3&amp;" days",IF(H311&gt;=Rules!$B$2,"idle &gt;= "&amp;Rules!$B$2&amp;" days",""))))</f>
        <v/>
      </c>
      <c r="J311" s="5">
        <f>IF(I311="","",IF(F311="Address issue",0,COUNTIF($I$2:$I$1001,"address issue"))+COUNTIFS($I$2:$I$1001,"?*",$F$2:$F$1001,IF(F311="Address issue","Address issue","&lt;&gt;Address issue"),$H$2:$H$1001,"&gt;"&amp;H311)+1)</f>
        <v/>
      </c>
    </row>
    <row r="312">
      <c r="A312" s="11" t="n">
        <v>100311</v>
      </c>
      <c r="B312" s="11" t="inlineStr">
        <is>
          <t>Мексика</t>
        </is>
      </c>
      <c r="C312" s="11" t="inlineStr">
        <is>
          <t>AndesCargo</t>
        </is>
      </c>
      <c r="D312" s="11" t="inlineStr">
        <is>
          <t>AC85028721</t>
        </is>
      </c>
      <c r="E312" s="12" t="n">
        <v>46296</v>
      </c>
      <c r="F312" s="11" t="inlineStr">
        <is>
          <t>In transit</t>
        </is>
      </c>
      <c r="G312" s="12" t="n">
        <v>46304</v>
      </c>
      <c r="H312" s="5">
        <f>IF(G312="","",Rules!$B$1-G312)</f>
        <v/>
      </c>
      <c r="I312" s="5">
        <f>IF(F312="Address issue","address issue",IF(OR(F312="Delivered",F312="Returned to sender",G312=""),"",IF(AND(Rules!$B$3&lt;&gt;"",F312="Held at customs",H312&gt;=Rules!$B$3),"customs &gt;= "&amp;Rules!$B$3&amp;" days",IF(H312&gt;=Rules!$B$2,"idle &gt;= "&amp;Rules!$B$2&amp;" days",""))))</f>
        <v/>
      </c>
      <c r="J312" s="5">
        <f>IF(I312="","",IF(F312="Address issue",0,COUNTIF($I$2:$I$1001,"address issue"))+COUNTIFS($I$2:$I$1001,"?*",$F$2:$F$1001,IF(F312="Address issue","Address issue","&lt;&gt;Address issue"),$H$2:$H$1001,"&gt;"&amp;H312)+1)</f>
        <v/>
      </c>
    </row>
    <row r="313">
      <c r="A313" s="11" t="n">
        <v>100312</v>
      </c>
      <c r="B313" s="11" t="inlineStr">
        <is>
          <t>Бразилія</t>
        </is>
      </c>
      <c r="C313" s="11" t="inlineStr">
        <is>
          <t>AndesCargo</t>
        </is>
      </c>
      <c r="D313" s="11" t="inlineStr">
        <is>
          <t>AC85479177</t>
        </is>
      </c>
      <c r="E313" s="12" t="n">
        <v>46284</v>
      </c>
      <c r="F313" s="11" t="inlineStr">
        <is>
          <t>Delivered</t>
        </is>
      </c>
      <c r="G313" s="12" t="n">
        <v>46292</v>
      </c>
      <c r="H313" s="5">
        <f>IF(G313="","",Rules!$B$1-G313)</f>
        <v/>
      </c>
      <c r="I313" s="5">
        <f>IF(F313="Address issue","address issue",IF(OR(F313="Delivered",F313="Returned to sender",G313=""),"",IF(AND(Rules!$B$3&lt;&gt;"",F313="Held at customs",H313&gt;=Rules!$B$3),"customs &gt;= "&amp;Rules!$B$3&amp;" days",IF(H313&gt;=Rules!$B$2,"idle &gt;= "&amp;Rules!$B$2&amp;" days",""))))</f>
        <v/>
      </c>
      <c r="J313" s="5">
        <f>IF(I313="","",IF(F313="Address issue",0,COUNTIF($I$2:$I$1001,"address issue"))+COUNTIFS($I$2:$I$1001,"?*",$F$2:$F$1001,IF(F313="Address issue","Address issue","&lt;&gt;Address issue"),$H$2:$H$1001,"&gt;"&amp;H313)+1)</f>
        <v/>
      </c>
    </row>
    <row r="314">
      <c r="A314" s="11" t="n">
        <v>100313</v>
      </c>
      <c r="B314" s="11" t="inlineStr">
        <is>
          <t>Канада</t>
        </is>
      </c>
      <c r="C314" s="11" t="inlineStr">
        <is>
          <t>PostLink</t>
        </is>
      </c>
      <c r="D314" s="11" t="inlineStr">
        <is>
          <t>PL81975490</t>
        </is>
      </c>
      <c r="E314" s="12" t="n">
        <v>46286</v>
      </c>
      <c r="F314" s="11" t="inlineStr">
        <is>
          <t>Delivered</t>
        </is>
      </c>
      <c r="G314" s="12" t="n">
        <v>46295</v>
      </c>
      <c r="H314" s="5">
        <f>IF(G314="","",Rules!$B$1-G314)</f>
        <v/>
      </c>
      <c r="I314" s="5">
        <f>IF(F314="Address issue","address issue",IF(OR(F314="Delivered",F314="Returned to sender",G314=""),"",IF(AND(Rules!$B$3&lt;&gt;"",F314="Held at customs",H314&gt;=Rules!$B$3),"customs &gt;= "&amp;Rules!$B$3&amp;" days",IF(H314&gt;=Rules!$B$2,"idle &gt;= "&amp;Rules!$B$2&amp;" days",""))))</f>
        <v/>
      </c>
      <c r="J314" s="5">
        <f>IF(I314="","",IF(F314="Address issue",0,COUNTIF($I$2:$I$1001,"address issue"))+COUNTIFS($I$2:$I$1001,"?*",$F$2:$F$1001,IF(F314="Address issue","Address issue","&lt;&gt;Address issue"),$H$2:$H$1001,"&gt;"&amp;H314)+1)</f>
        <v/>
      </c>
    </row>
    <row r="315">
      <c r="A315" s="11" t="n">
        <v>100314</v>
      </c>
      <c r="B315" s="11" t="inlineStr">
        <is>
          <t>Бразилія</t>
        </is>
      </c>
      <c r="C315" s="11" t="inlineStr">
        <is>
          <t>AndesCargo</t>
        </is>
      </c>
      <c r="D315" s="11" t="inlineStr">
        <is>
          <t>AC89790839</t>
        </is>
      </c>
      <c r="E315" s="12" t="n">
        <v>46287</v>
      </c>
      <c r="F315" s="11" t="inlineStr">
        <is>
          <t>Delivered</t>
        </is>
      </c>
      <c r="G315" s="12" t="n">
        <v>46293</v>
      </c>
      <c r="H315" s="5">
        <f>IF(G315="","",Rules!$B$1-G315)</f>
        <v/>
      </c>
      <c r="I315" s="5">
        <f>IF(F315="Address issue","address issue",IF(OR(F315="Delivered",F315="Returned to sender",G315=""),"",IF(AND(Rules!$B$3&lt;&gt;"",F315="Held at customs",H315&gt;=Rules!$B$3),"customs &gt;= "&amp;Rules!$B$3&amp;" days",IF(H315&gt;=Rules!$B$2,"idle &gt;= "&amp;Rules!$B$2&amp;" days",""))))</f>
        <v/>
      </c>
      <c r="J315" s="5">
        <f>IF(I315="","",IF(F315="Address issue",0,COUNTIF($I$2:$I$1001,"address issue"))+COUNTIFS($I$2:$I$1001,"?*",$F$2:$F$1001,IF(F315="Address issue","Address issue","&lt;&gt;Address issue"),$H$2:$H$1001,"&gt;"&amp;H315)+1)</f>
        <v/>
      </c>
    </row>
    <row r="316">
      <c r="A316" s="11" t="n">
        <v>100315</v>
      </c>
      <c r="B316" s="11" t="inlineStr">
        <is>
          <t>Мексика</t>
        </is>
      </c>
      <c r="C316" s="11" t="inlineStr">
        <is>
          <t>SwiftParcel</t>
        </is>
      </c>
      <c r="D316" s="11" t="inlineStr">
        <is>
          <t>SP2032434</t>
        </is>
      </c>
      <c r="E316" s="12" t="n">
        <v>46288</v>
      </c>
      <c r="F316" s="11" t="inlineStr">
        <is>
          <t>Delivered</t>
        </is>
      </c>
      <c r="G316" s="12" t="n">
        <v>46300</v>
      </c>
      <c r="H316" s="5">
        <f>IF(G316="","",Rules!$B$1-G316)</f>
        <v/>
      </c>
      <c r="I316" s="5">
        <f>IF(F316="Address issue","address issue",IF(OR(F316="Delivered",F316="Returned to sender",G316=""),"",IF(AND(Rules!$B$3&lt;&gt;"",F316="Held at customs",H316&gt;=Rules!$B$3),"customs &gt;= "&amp;Rules!$B$3&amp;" days",IF(H316&gt;=Rules!$B$2,"idle &gt;= "&amp;Rules!$B$2&amp;" days",""))))</f>
        <v/>
      </c>
      <c r="J316" s="5">
        <f>IF(I316="","",IF(F316="Address issue",0,COUNTIF($I$2:$I$1001,"address issue"))+COUNTIFS($I$2:$I$1001,"?*",$F$2:$F$1001,IF(F316="Address issue","Address issue","&lt;&gt;Address issue"),$H$2:$H$1001,"&gt;"&amp;H316)+1)</f>
        <v/>
      </c>
    </row>
    <row r="317">
      <c r="A317" s="11" t="n">
        <v>100316</v>
      </c>
      <c r="B317" s="11" t="inlineStr">
        <is>
          <t>Мексика</t>
        </is>
      </c>
      <c r="C317" s="11" t="inlineStr">
        <is>
          <t>AndesCargo</t>
        </is>
      </c>
      <c r="D317" s="11" t="inlineStr">
        <is>
          <t>AC58528492</t>
        </is>
      </c>
      <c r="E317" s="12" t="n">
        <v>46299</v>
      </c>
      <c r="F317" s="11" t="inlineStr">
        <is>
          <t>Address issue</t>
        </is>
      </c>
      <c r="G317" s="13" t="n">
        <v>46305</v>
      </c>
      <c r="H317" s="5">
        <f>IF(G317="","",Rules!$B$1-G317)</f>
        <v/>
      </c>
      <c r="I317" s="5">
        <f>IF(F317="Address issue","address issue",IF(OR(F317="Delivered",F317="Returned to sender",G317=""),"",IF(AND(Rules!$B$3&lt;&gt;"",F317="Held at customs",H317&gt;=Rules!$B$3),"customs &gt;= "&amp;Rules!$B$3&amp;" days",IF(H317&gt;=Rules!$B$2,"idle &gt;= "&amp;Rules!$B$2&amp;" days",""))))</f>
        <v/>
      </c>
      <c r="J317" s="5">
        <f>IF(I317="","",IF(F317="Address issue",0,COUNTIF($I$2:$I$1001,"address issue"))+COUNTIFS($I$2:$I$1001,"?*",$F$2:$F$1001,IF(F317="Address issue","Address issue","&lt;&gt;Address issue"),$H$2:$H$1001,"&gt;"&amp;H317)+1)</f>
        <v/>
      </c>
    </row>
    <row r="318">
      <c r="A318" s="11" t="n">
        <v>100317</v>
      </c>
      <c r="B318" s="11" t="inlineStr">
        <is>
          <t>Мексика</t>
        </is>
      </c>
      <c r="C318" s="11" t="inlineStr">
        <is>
          <t>AndesCargo</t>
        </is>
      </c>
      <c r="D318" s="11" t="inlineStr">
        <is>
          <t>AC38065998</t>
        </is>
      </c>
      <c r="E318" s="12" t="n">
        <v>46289</v>
      </c>
      <c r="F318" s="11" t="inlineStr">
        <is>
          <t>Held at customs</t>
        </is>
      </c>
      <c r="G318" s="12" t="n">
        <v>46296</v>
      </c>
      <c r="H318" s="5">
        <f>IF(G318="","",Rules!$B$1-G318)</f>
        <v/>
      </c>
      <c r="I318" s="5">
        <f>IF(F318="Address issue","address issue",IF(OR(F318="Delivered",F318="Returned to sender",G318=""),"",IF(AND(Rules!$B$3&lt;&gt;"",F318="Held at customs",H318&gt;=Rules!$B$3),"customs &gt;= "&amp;Rules!$B$3&amp;" days",IF(H318&gt;=Rules!$B$2,"idle &gt;= "&amp;Rules!$B$2&amp;" days",""))))</f>
        <v/>
      </c>
      <c r="J318" s="5">
        <f>IF(I318="","",IF(F318="Address issue",0,COUNTIF($I$2:$I$1001,"address issue"))+COUNTIFS($I$2:$I$1001,"?*",$F$2:$F$1001,IF(F318="Address issue","Address issue","&lt;&gt;Address issue"),$H$2:$H$1001,"&gt;"&amp;H318)+1)</f>
        <v/>
      </c>
    </row>
    <row r="319">
      <c r="A319" s="11" t="n">
        <v>100318</v>
      </c>
      <c r="B319" s="11" t="inlineStr">
        <is>
          <t>Мексика</t>
        </is>
      </c>
      <c r="C319" s="11" t="inlineStr">
        <is>
          <t>AndesCargo</t>
        </is>
      </c>
      <c r="D319" s="11" t="inlineStr">
        <is>
          <t>AC52082393</t>
        </is>
      </c>
      <c r="E319" s="12" t="n">
        <v>46301</v>
      </c>
      <c r="F319" s="11" t="inlineStr">
        <is>
          <t>Held at customs</t>
        </is>
      </c>
      <c r="G319" s="13" t="n">
        <v>46305</v>
      </c>
      <c r="H319" s="5">
        <f>IF(G319="","",Rules!$B$1-G319)</f>
        <v/>
      </c>
      <c r="I319" s="5">
        <f>IF(F319="Address issue","address issue",IF(OR(F319="Delivered",F319="Returned to sender",G319=""),"",IF(AND(Rules!$B$3&lt;&gt;"",F319="Held at customs",H319&gt;=Rules!$B$3),"customs &gt;= "&amp;Rules!$B$3&amp;" days",IF(H319&gt;=Rules!$B$2,"idle &gt;= "&amp;Rules!$B$2&amp;" days",""))))</f>
        <v/>
      </c>
      <c r="J319" s="5">
        <f>IF(I319="","",IF(F319="Address issue",0,COUNTIF($I$2:$I$1001,"address issue"))+COUNTIFS($I$2:$I$1001,"?*",$F$2:$F$1001,IF(F319="Address issue","Address issue","&lt;&gt;Address issue"),$H$2:$H$1001,"&gt;"&amp;H319)+1)</f>
        <v/>
      </c>
    </row>
    <row r="320">
      <c r="A320" s="11" t="n">
        <v>100319</v>
      </c>
      <c r="B320" s="11" t="inlineStr">
        <is>
          <t>Канада</t>
        </is>
      </c>
      <c r="C320" s="11" t="inlineStr">
        <is>
          <t>PostLink</t>
        </is>
      </c>
      <c r="D320" s="11" t="inlineStr">
        <is>
          <t>PL62170134</t>
        </is>
      </c>
      <c r="E320" s="13" t="n">
        <v>46308</v>
      </c>
      <c r="F320" s="11" t="inlineStr">
        <is>
          <t>In transit</t>
        </is>
      </c>
      <c r="G320" s="13" t="n">
        <v>46309</v>
      </c>
      <c r="H320" s="5">
        <f>IF(G320="","",Rules!$B$1-G320)</f>
        <v/>
      </c>
      <c r="I320" s="5">
        <f>IF(F320="Address issue","address issue",IF(OR(F320="Delivered",F320="Returned to sender",G320=""),"",IF(AND(Rules!$B$3&lt;&gt;"",F320="Held at customs",H320&gt;=Rules!$B$3),"customs &gt;= "&amp;Rules!$B$3&amp;" days",IF(H320&gt;=Rules!$B$2,"idle &gt;= "&amp;Rules!$B$2&amp;" days",""))))</f>
        <v/>
      </c>
      <c r="J320" s="5">
        <f>IF(I320="","",IF(F320="Address issue",0,COUNTIF($I$2:$I$1001,"address issue"))+COUNTIFS($I$2:$I$1001,"?*",$F$2:$F$1001,IF(F320="Address issue","Address issue","&lt;&gt;Address issue"),$H$2:$H$1001,"&gt;"&amp;H320)+1)</f>
        <v/>
      </c>
    </row>
    <row r="321">
      <c r="A321" s="11" t="n">
        <v>100320</v>
      </c>
      <c r="B321" s="11" t="inlineStr">
        <is>
          <t>Мексика</t>
        </is>
      </c>
      <c r="C321" s="11" t="inlineStr">
        <is>
          <t>AndesCargo</t>
        </is>
      </c>
      <c r="D321" s="11" t="inlineStr">
        <is>
          <t>AC91097720</t>
        </is>
      </c>
      <c r="E321" s="12" t="n">
        <v>46299</v>
      </c>
      <c r="F321" s="11" t="inlineStr">
        <is>
          <t>Label created</t>
        </is>
      </c>
      <c r="G321" s="12" t="n">
        <v>46299</v>
      </c>
      <c r="H321" s="5">
        <f>IF(G321="","",Rules!$B$1-G321)</f>
        <v/>
      </c>
      <c r="I321" s="5">
        <f>IF(F321="Address issue","address issue",IF(OR(F321="Delivered",F321="Returned to sender",G321=""),"",IF(AND(Rules!$B$3&lt;&gt;"",F321="Held at customs",H321&gt;=Rules!$B$3),"customs &gt;= "&amp;Rules!$B$3&amp;" days",IF(H321&gt;=Rules!$B$2,"idle &gt;= "&amp;Rules!$B$2&amp;" days",""))))</f>
        <v/>
      </c>
      <c r="J321" s="5">
        <f>IF(I321="","",IF(F321="Address issue",0,COUNTIF($I$2:$I$1001,"address issue"))+COUNTIFS($I$2:$I$1001,"?*",$F$2:$F$1001,IF(F321="Address issue","Address issue","&lt;&gt;Address issue"),$H$2:$H$1001,"&gt;"&amp;H321)+1)</f>
        <v/>
      </c>
    </row>
    <row r="322">
      <c r="A322" s="11" t="n">
        <v>100321</v>
      </c>
      <c r="B322" s="11" t="inlineStr">
        <is>
          <t>Мексика</t>
        </is>
      </c>
      <c r="C322" s="11" t="inlineStr">
        <is>
          <t>SwiftParcel</t>
        </is>
      </c>
      <c r="D322" s="11" t="inlineStr">
        <is>
          <t>SP6372932</t>
        </is>
      </c>
      <c r="E322" s="13" t="n">
        <v>46307</v>
      </c>
      <c r="F322" s="11" t="inlineStr">
        <is>
          <t>In transit</t>
        </is>
      </c>
      <c r="G322" s="13" t="n">
        <v>46309</v>
      </c>
      <c r="H322" s="5">
        <f>IF(G322="","",Rules!$B$1-G322)</f>
        <v/>
      </c>
      <c r="I322" s="5">
        <f>IF(F322="Address issue","address issue",IF(OR(F322="Delivered",F322="Returned to sender",G322=""),"",IF(AND(Rules!$B$3&lt;&gt;"",F322="Held at customs",H322&gt;=Rules!$B$3),"customs &gt;= "&amp;Rules!$B$3&amp;" days",IF(H322&gt;=Rules!$B$2,"idle &gt;= "&amp;Rules!$B$2&amp;" days",""))))</f>
        <v/>
      </c>
      <c r="J322" s="5">
        <f>IF(I322="","",IF(F322="Address issue",0,COUNTIF($I$2:$I$1001,"address issue"))+COUNTIFS($I$2:$I$1001,"?*",$F$2:$F$1001,IF(F322="Address issue","Address issue","&lt;&gt;Address issue"),$H$2:$H$1001,"&gt;"&amp;H322)+1)</f>
        <v/>
      </c>
    </row>
    <row r="323">
      <c r="A323" s="11" t="n">
        <v>100322</v>
      </c>
      <c r="B323" s="11" t="inlineStr">
        <is>
          <t>Мексика</t>
        </is>
      </c>
      <c r="C323" s="11" t="inlineStr">
        <is>
          <t>AndesCargo</t>
        </is>
      </c>
      <c r="D323" s="11" t="inlineStr">
        <is>
          <t>AC57117052</t>
        </is>
      </c>
      <c r="E323" s="13" t="n">
        <v>46306</v>
      </c>
      <c r="F323" s="11" t="inlineStr">
        <is>
          <t>In transit</t>
        </is>
      </c>
      <c r="G323" s="13" t="n">
        <v>46307</v>
      </c>
      <c r="H323" s="5">
        <f>IF(G323="","",Rules!$B$1-G323)</f>
        <v/>
      </c>
      <c r="I323" s="5">
        <f>IF(F323="Address issue","address issue",IF(OR(F323="Delivered",F323="Returned to sender",G323=""),"",IF(AND(Rules!$B$3&lt;&gt;"",F323="Held at customs",H323&gt;=Rules!$B$3),"customs &gt;= "&amp;Rules!$B$3&amp;" days",IF(H323&gt;=Rules!$B$2,"idle &gt;= "&amp;Rules!$B$2&amp;" days",""))))</f>
        <v/>
      </c>
      <c r="J323" s="5">
        <f>IF(I323="","",IF(F323="Address issue",0,COUNTIF($I$2:$I$1001,"address issue"))+COUNTIFS($I$2:$I$1001,"?*",$F$2:$F$1001,IF(F323="Address issue","Address issue","&lt;&gt;Address issue"),$H$2:$H$1001,"&gt;"&amp;H323)+1)</f>
        <v/>
      </c>
    </row>
    <row r="324">
      <c r="A324" s="11" t="n">
        <v>100323</v>
      </c>
      <c r="B324" s="11" t="inlineStr">
        <is>
          <t>Бразилія</t>
        </is>
      </c>
      <c r="C324" s="11" t="inlineStr">
        <is>
          <t>SwiftParcel</t>
        </is>
      </c>
      <c r="D324" s="11" t="inlineStr">
        <is>
          <t>SP9952558</t>
        </is>
      </c>
      <c r="E324" s="12" t="n">
        <v>46302</v>
      </c>
      <c r="F324" s="11" t="inlineStr">
        <is>
          <t>Delivered</t>
        </is>
      </c>
      <c r="G324" s="13" t="n">
        <v>46306</v>
      </c>
      <c r="H324" s="5">
        <f>IF(G324="","",Rules!$B$1-G324)</f>
        <v/>
      </c>
      <c r="I324" s="5">
        <f>IF(F324="Address issue","address issue",IF(OR(F324="Delivered",F324="Returned to sender",G324=""),"",IF(AND(Rules!$B$3&lt;&gt;"",F324="Held at customs",H324&gt;=Rules!$B$3),"customs &gt;= "&amp;Rules!$B$3&amp;" days",IF(H324&gt;=Rules!$B$2,"idle &gt;= "&amp;Rules!$B$2&amp;" days",""))))</f>
        <v/>
      </c>
      <c r="J324" s="5">
        <f>IF(I324="","",IF(F324="Address issue",0,COUNTIF($I$2:$I$1001,"address issue"))+COUNTIFS($I$2:$I$1001,"?*",$F$2:$F$1001,IF(F324="Address issue","Address issue","&lt;&gt;Address issue"),$H$2:$H$1001,"&gt;"&amp;H324)+1)</f>
        <v/>
      </c>
    </row>
    <row r="325">
      <c r="A325" s="11" t="n">
        <v>100324</v>
      </c>
      <c r="B325" s="11" t="inlineStr">
        <is>
          <t>Мексика</t>
        </is>
      </c>
      <c r="C325" s="11" t="inlineStr">
        <is>
          <t>AndesCargo</t>
        </is>
      </c>
      <c r="D325" s="11" t="inlineStr">
        <is>
          <t>AC60410903</t>
        </is>
      </c>
      <c r="E325" s="12" t="n">
        <v>46295</v>
      </c>
      <c r="F325" s="11" t="inlineStr">
        <is>
          <t>Out for delivery</t>
        </is>
      </c>
      <c r="G325" s="12" t="n">
        <v>46298</v>
      </c>
      <c r="H325" s="5">
        <f>IF(G325="","",Rules!$B$1-G325)</f>
        <v/>
      </c>
      <c r="I325" s="5">
        <f>IF(F325="Address issue","address issue",IF(OR(F325="Delivered",F325="Returned to sender",G325=""),"",IF(AND(Rules!$B$3&lt;&gt;"",F325="Held at customs",H325&gt;=Rules!$B$3),"customs &gt;= "&amp;Rules!$B$3&amp;" days",IF(H325&gt;=Rules!$B$2,"idle &gt;= "&amp;Rules!$B$2&amp;" days",""))))</f>
        <v/>
      </c>
      <c r="J325" s="5">
        <f>IF(I325="","",IF(F325="Address issue",0,COUNTIF($I$2:$I$1001,"address issue"))+COUNTIFS($I$2:$I$1001,"?*",$F$2:$F$1001,IF(F325="Address issue","Address issue","&lt;&gt;Address issue"),$H$2:$H$1001,"&gt;"&amp;H325)+1)</f>
        <v/>
      </c>
    </row>
    <row r="326">
      <c r="A326" s="11" t="n">
        <v>100325</v>
      </c>
      <c r="B326" s="11" t="inlineStr">
        <is>
          <t>Мексика</t>
        </is>
      </c>
      <c r="C326" s="11" t="inlineStr">
        <is>
          <t>AndesCargo</t>
        </is>
      </c>
      <c r="D326" s="11" t="inlineStr">
        <is>
          <t>AC37992546</t>
        </is>
      </c>
      <c r="E326" s="12" t="n">
        <v>46300</v>
      </c>
      <c r="F326" s="11" t="inlineStr">
        <is>
          <t>In transit</t>
        </is>
      </c>
      <c r="G326" s="13" t="n">
        <v>46305</v>
      </c>
      <c r="H326" s="5">
        <f>IF(G326="","",Rules!$B$1-G326)</f>
        <v/>
      </c>
      <c r="I326" s="5">
        <f>IF(F326="Address issue","address issue",IF(OR(F326="Delivered",F326="Returned to sender",G326=""),"",IF(AND(Rules!$B$3&lt;&gt;"",F326="Held at customs",H326&gt;=Rules!$B$3),"customs &gt;= "&amp;Rules!$B$3&amp;" days",IF(H326&gt;=Rules!$B$2,"idle &gt;= "&amp;Rules!$B$2&amp;" days",""))))</f>
        <v/>
      </c>
      <c r="J326" s="5">
        <f>IF(I326="","",IF(F326="Address issue",0,COUNTIF($I$2:$I$1001,"address issue"))+COUNTIFS($I$2:$I$1001,"?*",$F$2:$F$1001,IF(F326="Address issue","Address issue","&lt;&gt;Address issue"),$H$2:$H$1001,"&gt;"&amp;H326)+1)</f>
        <v/>
      </c>
    </row>
    <row r="327">
      <c r="A327" s="11" t="n">
        <v>100326</v>
      </c>
      <c r="B327" s="11" t="inlineStr">
        <is>
          <t>Бразилія</t>
        </is>
      </c>
      <c r="C327" s="11" t="inlineStr">
        <is>
          <t>SwiftParcel</t>
        </is>
      </c>
      <c r="D327" s="11" t="inlineStr">
        <is>
          <t>SP3461122</t>
        </is>
      </c>
      <c r="E327" s="12" t="n">
        <v>46288</v>
      </c>
      <c r="F327" s="11" t="inlineStr">
        <is>
          <t>Delivered</t>
        </is>
      </c>
      <c r="G327" s="12" t="n">
        <v>46293</v>
      </c>
      <c r="H327" s="5">
        <f>IF(G327="","",Rules!$B$1-G327)</f>
        <v/>
      </c>
      <c r="I327" s="5">
        <f>IF(F327="Address issue","address issue",IF(OR(F327="Delivered",F327="Returned to sender",G327=""),"",IF(AND(Rules!$B$3&lt;&gt;"",F327="Held at customs",H327&gt;=Rules!$B$3),"customs &gt;= "&amp;Rules!$B$3&amp;" days",IF(H327&gt;=Rules!$B$2,"idle &gt;= "&amp;Rules!$B$2&amp;" days",""))))</f>
        <v/>
      </c>
      <c r="J327" s="5">
        <f>IF(I327="","",IF(F327="Address issue",0,COUNTIF($I$2:$I$1001,"address issue"))+COUNTIFS($I$2:$I$1001,"?*",$F$2:$F$1001,IF(F327="Address issue","Address issue","&lt;&gt;Address issue"),$H$2:$H$1001,"&gt;"&amp;H327)+1)</f>
        <v/>
      </c>
    </row>
    <row r="328">
      <c r="A328" s="11" t="n">
        <v>100327</v>
      </c>
      <c r="B328" s="11" t="inlineStr">
        <is>
          <t>Мексика</t>
        </is>
      </c>
      <c r="C328" s="11" t="inlineStr">
        <is>
          <t>AndesCargo</t>
        </is>
      </c>
      <c r="D328" s="11" t="inlineStr">
        <is>
          <t>AC91429857</t>
        </is>
      </c>
      <c r="E328" s="12" t="n">
        <v>46295</v>
      </c>
      <c r="F328" s="11" t="inlineStr">
        <is>
          <t>In transit</t>
        </is>
      </c>
      <c r="G328" s="12" t="n">
        <v>46301</v>
      </c>
      <c r="H328" s="5">
        <f>IF(G328="","",Rules!$B$1-G328)</f>
        <v/>
      </c>
      <c r="I328" s="5">
        <f>IF(F328="Address issue","address issue",IF(OR(F328="Delivered",F328="Returned to sender",G328=""),"",IF(AND(Rules!$B$3&lt;&gt;"",F328="Held at customs",H328&gt;=Rules!$B$3),"customs &gt;= "&amp;Rules!$B$3&amp;" days",IF(H328&gt;=Rules!$B$2,"idle &gt;= "&amp;Rules!$B$2&amp;" days",""))))</f>
        <v/>
      </c>
      <c r="J328" s="5">
        <f>IF(I328="","",IF(F328="Address issue",0,COUNTIF($I$2:$I$1001,"address issue"))+COUNTIFS($I$2:$I$1001,"?*",$F$2:$F$1001,IF(F328="Address issue","Address issue","&lt;&gt;Address issue"),$H$2:$H$1001,"&gt;"&amp;H328)+1)</f>
        <v/>
      </c>
    </row>
    <row r="329">
      <c r="A329" s="11" t="n">
        <v>100328</v>
      </c>
      <c r="B329" s="11" t="inlineStr">
        <is>
          <t>Мексика</t>
        </is>
      </c>
      <c r="C329" s="11" t="inlineStr">
        <is>
          <t>SwiftParcel</t>
        </is>
      </c>
      <c r="D329" s="11" t="inlineStr">
        <is>
          <t>SP7016757</t>
        </is>
      </c>
      <c r="E329" s="13" t="n">
        <v>46308</v>
      </c>
      <c r="F329" s="11" t="inlineStr">
        <is>
          <t>In transit</t>
        </is>
      </c>
      <c r="G329" s="13" t="n">
        <v>46309</v>
      </c>
      <c r="H329" s="5">
        <f>IF(G329="","",Rules!$B$1-G329)</f>
        <v/>
      </c>
      <c r="I329" s="5">
        <f>IF(F329="Address issue","address issue",IF(OR(F329="Delivered",F329="Returned to sender",G329=""),"",IF(AND(Rules!$B$3&lt;&gt;"",F329="Held at customs",H329&gt;=Rules!$B$3),"customs &gt;= "&amp;Rules!$B$3&amp;" days",IF(H329&gt;=Rules!$B$2,"idle &gt;= "&amp;Rules!$B$2&amp;" days",""))))</f>
        <v/>
      </c>
      <c r="J329" s="5">
        <f>IF(I329="","",IF(F329="Address issue",0,COUNTIF($I$2:$I$1001,"address issue"))+COUNTIFS($I$2:$I$1001,"?*",$F$2:$F$1001,IF(F329="Address issue","Address issue","&lt;&gt;Address issue"),$H$2:$H$1001,"&gt;"&amp;H329)+1)</f>
        <v/>
      </c>
    </row>
    <row r="330">
      <c r="A330" s="11" t="n">
        <v>100329</v>
      </c>
      <c r="B330" s="11" t="inlineStr">
        <is>
          <t>Канада</t>
        </is>
      </c>
      <c r="C330" s="11" t="inlineStr">
        <is>
          <t>PostLink</t>
        </is>
      </c>
      <c r="D330" s="11" t="inlineStr">
        <is>
          <t>PL89516778</t>
        </is>
      </c>
      <c r="E330" s="12" t="n">
        <v>46278</v>
      </c>
      <c r="F330" s="11" t="inlineStr">
        <is>
          <t>Delivered</t>
        </is>
      </c>
      <c r="G330" s="12" t="n">
        <v>46288</v>
      </c>
      <c r="H330" s="5">
        <f>IF(G330="","",Rules!$B$1-G330)</f>
        <v/>
      </c>
      <c r="I330" s="5">
        <f>IF(F330="Address issue","address issue",IF(OR(F330="Delivered",F330="Returned to sender",G330=""),"",IF(AND(Rules!$B$3&lt;&gt;"",F330="Held at customs",H330&gt;=Rules!$B$3),"customs &gt;= "&amp;Rules!$B$3&amp;" days",IF(H330&gt;=Rules!$B$2,"idle &gt;= "&amp;Rules!$B$2&amp;" days",""))))</f>
        <v/>
      </c>
      <c r="J330" s="5">
        <f>IF(I330="","",IF(F330="Address issue",0,COUNTIF($I$2:$I$1001,"address issue"))+COUNTIFS($I$2:$I$1001,"?*",$F$2:$F$1001,IF(F330="Address issue","Address issue","&lt;&gt;Address issue"),$H$2:$H$1001,"&gt;"&amp;H330)+1)</f>
        <v/>
      </c>
    </row>
    <row r="331">
      <c r="A331" s="11" t="n">
        <v>100330</v>
      </c>
      <c r="B331" s="11" t="inlineStr">
        <is>
          <t>Мексика</t>
        </is>
      </c>
      <c r="C331" s="11" t="inlineStr">
        <is>
          <t>AndesCargo</t>
        </is>
      </c>
      <c r="D331" s="11" t="inlineStr">
        <is>
          <t>AC81523447</t>
        </is>
      </c>
      <c r="E331" s="13" t="n">
        <v>46306</v>
      </c>
      <c r="F331" s="11" t="inlineStr">
        <is>
          <t>Address issue</t>
        </is>
      </c>
      <c r="G331" s="13" t="n">
        <v>46309</v>
      </c>
      <c r="H331" s="5">
        <f>IF(G331="","",Rules!$B$1-G331)</f>
        <v/>
      </c>
      <c r="I331" s="5">
        <f>IF(F331="Address issue","address issue",IF(OR(F331="Delivered",F331="Returned to sender",G331=""),"",IF(AND(Rules!$B$3&lt;&gt;"",F331="Held at customs",H331&gt;=Rules!$B$3),"customs &gt;= "&amp;Rules!$B$3&amp;" days",IF(H331&gt;=Rules!$B$2,"idle &gt;= "&amp;Rules!$B$2&amp;" days",""))))</f>
        <v/>
      </c>
      <c r="J331" s="5">
        <f>IF(I331="","",IF(F331="Address issue",0,COUNTIF($I$2:$I$1001,"address issue"))+COUNTIFS($I$2:$I$1001,"?*",$F$2:$F$1001,IF(F331="Address issue","Address issue","&lt;&gt;Address issue"),$H$2:$H$1001,"&gt;"&amp;H331)+1)</f>
        <v/>
      </c>
    </row>
    <row r="332">
      <c r="A332" s="11" t="n">
        <v>100331</v>
      </c>
      <c r="B332" s="11" t="inlineStr">
        <is>
          <t>Мексика</t>
        </is>
      </c>
      <c r="C332" s="11" t="inlineStr">
        <is>
          <t>AndesCargo</t>
        </is>
      </c>
      <c r="D332" s="11" t="inlineStr">
        <is>
          <t>AC28504648</t>
        </is>
      </c>
      <c r="E332" s="12" t="n">
        <v>46301</v>
      </c>
      <c r="F332" s="11" t="inlineStr">
        <is>
          <t>Returned to sender</t>
        </is>
      </c>
      <c r="G332" s="13" t="n">
        <v>46307</v>
      </c>
      <c r="H332" s="5">
        <f>IF(G332="","",Rules!$B$1-G332)</f>
        <v/>
      </c>
      <c r="I332" s="5">
        <f>IF(F332="Address issue","address issue",IF(OR(F332="Delivered",F332="Returned to sender",G332=""),"",IF(AND(Rules!$B$3&lt;&gt;"",F332="Held at customs",H332&gt;=Rules!$B$3),"customs &gt;= "&amp;Rules!$B$3&amp;" days",IF(H332&gt;=Rules!$B$2,"idle &gt;= "&amp;Rules!$B$2&amp;" days",""))))</f>
        <v/>
      </c>
      <c r="J332" s="5">
        <f>IF(I332="","",IF(F332="Address issue",0,COUNTIF($I$2:$I$1001,"address issue"))+COUNTIFS($I$2:$I$1001,"?*",$F$2:$F$1001,IF(F332="Address issue","Address issue","&lt;&gt;Address issue"),$H$2:$H$1001,"&gt;"&amp;H332)+1)</f>
        <v/>
      </c>
    </row>
    <row r="333">
      <c r="A333" s="11" t="n">
        <v>100332</v>
      </c>
      <c r="B333" s="11" t="inlineStr">
        <is>
          <t>Мексика</t>
        </is>
      </c>
      <c r="C333" s="11" t="inlineStr">
        <is>
          <t>AndesCargo</t>
        </is>
      </c>
      <c r="D333" s="11" t="inlineStr">
        <is>
          <t>AC14003685</t>
        </is>
      </c>
      <c r="E333" s="12" t="n">
        <v>46299</v>
      </c>
      <c r="F333" s="11" t="inlineStr">
        <is>
          <t>In transit</t>
        </is>
      </c>
      <c r="G333" s="13" t="n">
        <v>46307</v>
      </c>
      <c r="H333" s="5">
        <f>IF(G333="","",Rules!$B$1-G333)</f>
        <v/>
      </c>
      <c r="I333" s="5">
        <f>IF(F333="Address issue","address issue",IF(OR(F333="Delivered",F333="Returned to sender",G333=""),"",IF(AND(Rules!$B$3&lt;&gt;"",F333="Held at customs",H333&gt;=Rules!$B$3),"customs &gt;= "&amp;Rules!$B$3&amp;" days",IF(H333&gt;=Rules!$B$2,"idle &gt;= "&amp;Rules!$B$2&amp;" days",""))))</f>
        <v/>
      </c>
      <c r="J333" s="5">
        <f>IF(I333="","",IF(F333="Address issue",0,COUNTIF($I$2:$I$1001,"address issue"))+COUNTIFS($I$2:$I$1001,"?*",$F$2:$F$1001,IF(F333="Address issue","Address issue","&lt;&gt;Address issue"),$H$2:$H$1001,"&gt;"&amp;H333)+1)</f>
        <v/>
      </c>
    </row>
    <row r="334">
      <c r="A334" s="11" t="n">
        <v>100333</v>
      </c>
      <c r="B334" s="11" t="inlineStr">
        <is>
          <t>Канада</t>
        </is>
      </c>
      <c r="C334" s="11" t="inlineStr">
        <is>
          <t>PostLink</t>
        </is>
      </c>
      <c r="D334" s="11" t="inlineStr">
        <is>
          <t>PL50806061</t>
        </is>
      </c>
      <c r="E334" s="13" t="n">
        <v>46308</v>
      </c>
      <c r="F334" s="11" t="inlineStr">
        <is>
          <t>Out for delivery</t>
        </is>
      </c>
      <c r="G334" s="13" t="n">
        <v>46309</v>
      </c>
      <c r="H334" s="5">
        <f>IF(G334="","",Rules!$B$1-G334)</f>
        <v/>
      </c>
      <c r="I334" s="5">
        <f>IF(F334="Address issue","address issue",IF(OR(F334="Delivered",F334="Returned to sender",G334=""),"",IF(AND(Rules!$B$3&lt;&gt;"",F334="Held at customs",H334&gt;=Rules!$B$3),"customs &gt;= "&amp;Rules!$B$3&amp;" days",IF(H334&gt;=Rules!$B$2,"idle &gt;= "&amp;Rules!$B$2&amp;" days",""))))</f>
        <v/>
      </c>
      <c r="J334" s="5">
        <f>IF(I334="","",IF(F334="Address issue",0,COUNTIF($I$2:$I$1001,"address issue"))+COUNTIFS($I$2:$I$1001,"?*",$F$2:$F$1001,IF(F334="Address issue","Address issue","&lt;&gt;Address issue"),$H$2:$H$1001,"&gt;"&amp;H334)+1)</f>
        <v/>
      </c>
    </row>
    <row r="335">
      <c r="A335" s="11" t="n">
        <v>100334</v>
      </c>
      <c r="B335" s="11" t="inlineStr">
        <is>
          <t>Мексика</t>
        </is>
      </c>
      <c r="C335" s="11" t="inlineStr">
        <is>
          <t>AndesCargo</t>
        </is>
      </c>
      <c r="D335" s="11" t="inlineStr">
        <is>
          <t>AC24784076</t>
        </is>
      </c>
      <c r="E335" s="12" t="n">
        <v>46289</v>
      </c>
      <c r="F335" s="11" t="inlineStr">
        <is>
          <t>Out for delivery</t>
        </is>
      </c>
      <c r="G335" s="12" t="n">
        <v>46291</v>
      </c>
      <c r="H335" s="5">
        <f>IF(G335="","",Rules!$B$1-G335)</f>
        <v/>
      </c>
      <c r="I335" s="5">
        <f>IF(F335="Address issue","address issue",IF(OR(F335="Delivered",F335="Returned to sender",G335=""),"",IF(AND(Rules!$B$3&lt;&gt;"",F335="Held at customs",H335&gt;=Rules!$B$3),"customs &gt;= "&amp;Rules!$B$3&amp;" days",IF(H335&gt;=Rules!$B$2,"idle &gt;= "&amp;Rules!$B$2&amp;" days",""))))</f>
        <v/>
      </c>
      <c r="J335" s="5">
        <f>IF(I335="","",IF(F335="Address issue",0,COUNTIF($I$2:$I$1001,"address issue"))+COUNTIFS($I$2:$I$1001,"?*",$F$2:$F$1001,IF(F335="Address issue","Address issue","&lt;&gt;Address issue"),$H$2:$H$1001,"&gt;"&amp;H335)+1)</f>
        <v/>
      </c>
    </row>
    <row r="336">
      <c r="A336" s="11" t="n">
        <v>100335</v>
      </c>
      <c r="B336" s="11" t="inlineStr">
        <is>
          <t>Канада</t>
        </is>
      </c>
      <c r="C336" s="11" t="inlineStr">
        <is>
          <t>PostLink</t>
        </is>
      </c>
      <c r="D336" s="11" t="inlineStr">
        <is>
          <t>PL80159514</t>
        </is>
      </c>
      <c r="E336" s="12" t="n">
        <v>46284</v>
      </c>
      <c r="F336" s="11" t="inlineStr">
        <is>
          <t>Delivered</t>
        </is>
      </c>
      <c r="G336" s="12" t="n">
        <v>46296</v>
      </c>
      <c r="H336" s="5">
        <f>IF(G336="","",Rules!$B$1-G336)</f>
        <v/>
      </c>
      <c r="I336" s="5">
        <f>IF(F336="Address issue","address issue",IF(OR(F336="Delivered",F336="Returned to sender",G336=""),"",IF(AND(Rules!$B$3&lt;&gt;"",F336="Held at customs",H336&gt;=Rules!$B$3),"customs &gt;= "&amp;Rules!$B$3&amp;" days",IF(H336&gt;=Rules!$B$2,"idle &gt;= "&amp;Rules!$B$2&amp;" days",""))))</f>
        <v/>
      </c>
      <c r="J336" s="5">
        <f>IF(I336="","",IF(F336="Address issue",0,COUNTIF($I$2:$I$1001,"address issue"))+COUNTIFS($I$2:$I$1001,"?*",$F$2:$F$1001,IF(F336="Address issue","Address issue","&lt;&gt;Address issue"),$H$2:$H$1001,"&gt;"&amp;H336)+1)</f>
        <v/>
      </c>
    </row>
    <row r="337">
      <c r="A337" s="11" t="n">
        <v>100336</v>
      </c>
      <c r="B337" s="11" t="inlineStr">
        <is>
          <t>Канада</t>
        </is>
      </c>
      <c r="C337" s="11" t="inlineStr">
        <is>
          <t>PostLink</t>
        </is>
      </c>
      <c r="D337" s="11" t="inlineStr">
        <is>
          <t>PL67871319</t>
        </is>
      </c>
      <c r="E337" s="12" t="n">
        <v>46297</v>
      </c>
      <c r="F337" s="11" t="inlineStr">
        <is>
          <t>Delivered</t>
        </is>
      </c>
      <c r="G337" s="12" t="n">
        <v>46302</v>
      </c>
      <c r="H337" s="5">
        <f>IF(G337="","",Rules!$B$1-G337)</f>
        <v/>
      </c>
      <c r="I337" s="5">
        <f>IF(F337="Address issue","address issue",IF(OR(F337="Delivered",F337="Returned to sender",G337=""),"",IF(AND(Rules!$B$3&lt;&gt;"",F337="Held at customs",H337&gt;=Rules!$B$3),"customs &gt;= "&amp;Rules!$B$3&amp;" days",IF(H337&gt;=Rules!$B$2,"idle &gt;= "&amp;Rules!$B$2&amp;" days",""))))</f>
        <v/>
      </c>
      <c r="J337" s="5">
        <f>IF(I337="","",IF(F337="Address issue",0,COUNTIF($I$2:$I$1001,"address issue"))+COUNTIFS($I$2:$I$1001,"?*",$F$2:$F$1001,IF(F337="Address issue","Address issue","&lt;&gt;Address issue"),$H$2:$H$1001,"&gt;"&amp;H337)+1)</f>
        <v/>
      </c>
    </row>
    <row r="338">
      <c r="A338" s="11" t="n">
        <v>100337</v>
      </c>
      <c r="B338" s="11" t="inlineStr">
        <is>
          <t>Бразилія</t>
        </is>
      </c>
      <c r="C338" s="11" t="inlineStr">
        <is>
          <t>SwiftParcel</t>
        </is>
      </c>
      <c r="D338" s="11" t="inlineStr">
        <is>
          <t>SP7901913</t>
        </is>
      </c>
      <c r="E338" s="12" t="n">
        <v>46277</v>
      </c>
      <c r="F338" s="11" t="inlineStr">
        <is>
          <t>Delivered</t>
        </is>
      </c>
      <c r="G338" s="12" t="n">
        <v>46286</v>
      </c>
      <c r="H338" s="5">
        <f>IF(G338="","",Rules!$B$1-G338)</f>
        <v/>
      </c>
      <c r="I338" s="5">
        <f>IF(F338="Address issue","address issue",IF(OR(F338="Delivered",F338="Returned to sender",G338=""),"",IF(AND(Rules!$B$3&lt;&gt;"",F338="Held at customs",H338&gt;=Rules!$B$3),"customs &gt;= "&amp;Rules!$B$3&amp;" days",IF(H338&gt;=Rules!$B$2,"idle &gt;= "&amp;Rules!$B$2&amp;" days",""))))</f>
        <v/>
      </c>
      <c r="J338" s="5">
        <f>IF(I338="","",IF(F338="Address issue",0,COUNTIF($I$2:$I$1001,"address issue"))+COUNTIFS($I$2:$I$1001,"?*",$F$2:$F$1001,IF(F338="Address issue","Address issue","&lt;&gt;Address issue"),$H$2:$H$1001,"&gt;"&amp;H338)+1)</f>
        <v/>
      </c>
    </row>
    <row r="339">
      <c r="A339" s="11" t="n">
        <v>100338</v>
      </c>
      <c r="B339" s="11" t="inlineStr">
        <is>
          <t>Канада</t>
        </is>
      </c>
      <c r="C339" s="11" t="inlineStr">
        <is>
          <t>PostLink</t>
        </is>
      </c>
      <c r="D339" s="11" t="inlineStr">
        <is>
          <t>PL18763355</t>
        </is>
      </c>
      <c r="E339" s="12" t="n">
        <v>46303</v>
      </c>
      <c r="F339" s="11" t="inlineStr">
        <is>
          <t>Address issue</t>
        </is>
      </c>
      <c r="G339" s="13" t="n">
        <v>46307</v>
      </c>
      <c r="H339" s="5">
        <f>IF(G339="","",Rules!$B$1-G339)</f>
        <v/>
      </c>
      <c r="I339" s="5">
        <f>IF(F339="Address issue","address issue",IF(OR(F339="Delivered",F339="Returned to sender",G339=""),"",IF(AND(Rules!$B$3&lt;&gt;"",F339="Held at customs",H339&gt;=Rules!$B$3),"customs &gt;= "&amp;Rules!$B$3&amp;" days",IF(H339&gt;=Rules!$B$2,"idle &gt;= "&amp;Rules!$B$2&amp;" days",""))))</f>
        <v/>
      </c>
      <c r="J339" s="5">
        <f>IF(I339="","",IF(F339="Address issue",0,COUNTIF($I$2:$I$1001,"address issue"))+COUNTIFS($I$2:$I$1001,"?*",$F$2:$F$1001,IF(F339="Address issue","Address issue","&lt;&gt;Address issue"),$H$2:$H$1001,"&gt;"&amp;H339)+1)</f>
        <v/>
      </c>
    </row>
    <row r="340">
      <c r="A340" s="11" t="n">
        <v>100339</v>
      </c>
      <c r="B340" s="11" t="inlineStr">
        <is>
          <t>Канада</t>
        </is>
      </c>
      <c r="C340" s="11" t="inlineStr">
        <is>
          <t>PostLink</t>
        </is>
      </c>
      <c r="D340" s="11" t="inlineStr">
        <is>
          <t>PL71305429</t>
        </is>
      </c>
      <c r="E340" s="12" t="n">
        <v>46294</v>
      </c>
      <c r="F340" s="11" t="inlineStr">
        <is>
          <t>Delivered</t>
        </is>
      </c>
      <c r="G340" s="12" t="n">
        <v>46303</v>
      </c>
      <c r="H340" s="5">
        <f>IF(G340="","",Rules!$B$1-G340)</f>
        <v/>
      </c>
      <c r="I340" s="5">
        <f>IF(F340="Address issue","address issue",IF(OR(F340="Delivered",F340="Returned to sender",G340=""),"",IF(AND(Rules!$B$3&lt;&gt;"",F340="Held at customs",H340&gt;=Rules!$B$3),"customs &gt;= "&amp;Rules!$B$3&amp;" days",IF(H340&gt;=Rules!$B$2,"idle &gt;= "&amp;Rules!$B$2&amp;" days",""))))</f>
        <v/>
      </c>
      <c r="J340" s="5">
        <f>IF(I340="","",IF(F340="Address issue",0,COUNTIF($I$2:$I$1001,"address issue"))+COUNTIFS($I$2:$I$1001,"?*",$F$2:$F$1001,IF(F340="Address issue","Address issue","&lt;&gt;Address issue"),$H$2:$H$1001,"&gt;"&amp;H340)+1)</f>
        <v/>
      </c>
    </row>
    <row r="341">
      <c r="A341" s="11" t="n">
        <v>100340</v>
      </c>
      <c r="B341" s="11" t="inlineStr">
        <is>
          <t>Мексика</t>
        </is>
      </c>
      <c r="C341" s="11" t="inlineStr">
        <is>
          <t>SwiftParcel</t>
        </is>
      </c>
      <c r="D341" s="11" t="inlineStr">
        <is>
          <t>SP3890986</t>
        </is>
      </c>
      <c r="E341" s="12" t="n">
        <v>46304</v>
      </c>
      <c r="F341" s="11" t="inlineStr">
        <is>
          <t>Delivered</t>
        </is>
      </c>
      <c r="G341" s="13" t="n">
        <v>46307</v>
      </c>
      <c r="H341" s="5">
        <f>IF(G341="","",Rules!$B$1-G341)</f>
        <v/>
      </c>
      <c r="I341" s="5">
        <f>IF(F341="Address issue","address issue",IF(OR(F341="Delivered",F341="Returned to sender",G341=""),"",IF(AND(Rules!$B$3&lt;&gt;"",F341="Held at customs",H341&gt;=Rules!$B$3),"customs &gt;= "&amp;Rules!$B$3&amp;" days",IF(H341&gt;=Rules!$B$2,"idle &gt;= "&amp;Rules!$B$2&amp;" days",""))))</f>
        <v/>
      </c>
      <c r="J341" s="5">
        <f>IF(I341="","",IF(F341="Address issue",0,COUNTIF($I$2:$I$1001,"address issue"))+COUNTIFS($I$2:$I$1001,"?*",$F$2:$F$1001,IF(F341="Address issue","Address issue","&lt;&gt;Address issue"),$H$2:$H$1001,"&gt;"&amp;H341)+1)</f>
        <v/>
      </c>
    </row>
    <row r="342">
      <c r="A342" s="11" t="n">
        <v>100341</v>
      </c>
      <c r="B342" s="11" t="inlineStr">
        <is>
          <t>Мексика</t>
        </is>
      </c>
      <c r="C342" s="11" t="inlineStr">
        <is>
          <t>SwiftParcel</t>
        </is>
      </c>
      <c r="D342" s="11" t="inlineStr">
        <is>
          <t>SP8217311</t>
        </is>
      </c>
      <c r="E342" s="13" t="n">
        <v>46308</v>
      </c>
      <c r="F342" s="11" t="inlineStr">
        <is>
          <t>Held at customs</t>
        </is>
      </c>
      <c r="G342" s="13" t="n">
        <v>46309</v>
      </c>
      <c r="H342" s="5">
        <f>IF(G342="","",Rules!$B$1-G342)</f>
        <v/>
      </c>
      <c r="I342" s="5">
        <f>IF(F342="Address issue","address issue",IF(OR(F342="Delivered",F342="Returned to sender",G342=""),"",IF(AND(Rules!$B$3&lt;&gt;"",F342="Held at customs",H342&gt;=Rules!$B$3),"customs &gt;= "&amp;Rules!$B$3&amp;" days",IF(H342&gt;=Rules!$B$2,"idle &gt;= "&amp;Rules!$B$2&amp;" days",""))))</f>
        <v/>
      </c>
      <c r="J342" s="5">
        <f>IF(I342="","",IF(F342="Address issue",0,COUNTIF($I$2:$I$1001,"address issue"))+COUNTIFS($I$2:$I$1001,"?*",$F$2:$F$1001,IF(F342="Address issue","Address issue","&lt;&gt;Address issue"),$H$2:$H$1001,"&gt;"&amp;H342)+1)</f>
        <v/>
      </c>
    </row>
    <row r="343">
      <c r="A343" s="11" t="n">
        <v>100342</v>
      </c>
      <c r="B343" s="11" t="inlineStr">
        <is>
          <t>Бразилія</t>
        </is>
      </c>
      <c r="C343" s="11" t="inlineStr">
        <is>
          <t>AndesCargo</t>
        </is>
      </c>
      <c r="D343" s="11" t="inlineStr">
        <is>
          <t>AC98668222</t>
        </is>
      </c>
      <c r="E343" s="12" t="n">
        <v>46300</v>
      </c>
      <c r="F343" s="11" t="inlineStr">
        <is>
          <t>Delivered</t>
        </is>
      </c>
      <c r="G343" s="13" t="n">
        <v>46306</v>
      </c>
      <c r="H343" s="5">
        <f>IF(G343="","",Rules!$B$1-G343)</f>
        <v/>
      </c>
      <c r="I343" s="5">
        <f>IF(F343="Address issue","address issue",IF(OR(F343="Delivered",F343="Returned to sender",G343=""),"",IF(AND(Rules!$B$3&lt;&gt;"",F343="Held at customs",H343&gt;=Rules!$B$3),"customs &gt;= "&amp;Rules!$B$3&amp;" days",IF(H343&gt;=Rules!$B$2,"idle &gt;= "&amp;Rules!$B$2&amp;" days",""))))</f>
        <v/>
      </c>
      <c r="J343" s="5">
        <f>IF(I343="","",IF(F343="Address issue",0,COUNTIF($I$2:$I$1001,"address issue"))+COUNTIFS($I$2:$I$1001,"?*",$F$2:$F$1001,IF(F343="Address issue","Address issue","&lt;&gt;Address issue"),$H$2:$H$1001,"&gt;"&amp;H343)+1)</f>
        <v/>
      </c>
    </row>
    <row r="344">
      <c r="A344" s="11" t="n">
        <v>100343</v>
      </c>
      <c r="B344" s="11" t="inlineStr">
        <is>
          <t>Мексика</t>
        </is>
      </c>
      <c r="C344" s="11" t="inlineStr">
        <is>
          <t>AndesCargo</t>
        </is>
      </c>
      <c r="D344" s="11" t="inlineStr">
        <is>
          <t>AC16348667</t>
        </is>
      </c>
      <c r="E344" s="12" t="n">
        <v>46288</v>
      </c>
      <c r="F344" s="11" t="inlineStr">
        <is>
          <t>Delivered</t>
        </is>
      </c>
      <c r="G344" s="12" t="n">
        <v>46300</v>
      </c>
      <c r="H344" s="5">
        <f>IF(G344="","",Rules!$B$1-G344)</f>
        <v/>
      </c>
      <c r="I344" s="5">
        <f>IF(F344="Address issue","address issue",IF(OR(F344="Delivered",F344="Returned to sender",G344=""),"",IF(AND(Rules!$B$3&lt;&gt;"",F344="Held at customs",H344&gt;=Rules!$B$3),"customs &gt;= "&amp;Rules!$B$3&amp;" days",IF(H344&gt;=Rules!$B$2,"idle &gt;= "&amp;Rules!$B$2&amp;" days",""))))</f>
        <v/>
      </c>
      <c r="J344" s="5">
        <f>IF(I344="","",IF(F344="Address issue",0,COUNTIF($I$2:$I$1001,"address issue"))+COUNTIFS($I$2:$I$1001,"?*",$F$2:$F$1001,IF(F344="Address issue","Address issue","&lt;&gt;Address issue"),$H$2:$H$1001,"&gt;"&amp;H344)+1)</f>
        <v/>
      </c>
    </row>
    <row r="345">
      <c r="A345" s="11" t="n">
        <v>100344</v>
      </c>
      <c r="B345" s="11" t="inlineStr">
        <is>
          <t>Мексика</t>
        </is>
      </c>
      <c r="C345" s="11" t="inlineStr">
        <is>
          <t>AndesCargo</t>
        </is>
      </c>
      <c r="D345" s="11" t="inlineStr">
        <is>
          <t>AC58863009</t>
        </is>
      </c>
      <c r="E345" s="12" t="n">
        <v>46270</v>
      </c>
      <c r="F345" s="11" t="inlineStr">
        <is>
          <t>Delivered</t>
        </is>
      </c>
      <c r="G345" s="12" t="n">
        <v>46281</v>
      </c>
      <c r="H345" s="5">
        <f>IF(G345="","",Rules!$B$1-G345)</f>
        <v/>
      </c>
      <c r="I345" s="5">
        <f>IF(F345="Address issue","address issue",IF(OR(F345="Delivered",F345="Returned to sender",G345=""),"",IF(AND(Rules!$B$3&lt;&gt;"",F345="Held at customs",H345&gt;=Rules!$B$3),"customs &gt;= "&amp;Rules!$B$3&amp;" days",IF(H345&gt;=Rules!$B$2,"idle &gt;= "&amp;Rules!$B$2&amp;" days",""))))</f>
        <v/>
      </c>
      <c r="J345" s="5">
        <f>IF(I345="","",IF(F345="Address issue",0,COUNTIF($I$2:$I$1001,"address issue"))+COUNTIFS($I$2:$I$1001,"?*",$F$2:$F$1001,IF(F345="Address issue","Address issue","&lt;&gt;Address issue"),$H$2:$H$1001,"&gt;"&amp;H345)+1)</f>
        <v/>
      </c>
    </row>
    <row r="346">
      <c r="A346" s="11" t="n">
        <v>100345</v>
      </c>
      <c r="B346" s="11" t="inlineStr">
        <is>
          <t>Канада</t>
        </is>
      </c>
      <c r="C346" s="11" t="inlineStr">
        <is>
          <t>PostLink</t>
        </is>
      </c>
      <c r="D346" s="11" t="inlineStr">
        <is>
          <t>PL95318682</t>
        </is>
      </c>
      <c r="E346" s="12" t="n">
        <v>46278</v>
      </c>
      <c r="F346" s="11" t="inlineStr">
        <is>
          <t>Delivered</t>
        </is>
      </c>
      <c r="G346" s="12" t="n">
        <v>46284</v>
      </c>
      <c r="H346" s="5">
        <f>IF(G346="","",Rules!$B$1-G346)</f>
        <v/>
      </c>
      <c r="I346" s="5">
        <f>IF(F346="Address issue","address issue",IF(OR(F346="Delivered",F346="Returned to sender",G346=""),"",IF(AND(Rules!$B$3&lt;&gt;"",F346="Held at customs",H346&gt;=Rules!$B$3),"customs &gt;= "&amp;Rules!$B$3&amp;" days",IF(H346&gt;=Rules!$B$2,"idle &gt;= "&amp;Rules!$B$2&amp;" days",""))))</f>
        <v/>
      </c>
      <c r="J346" s="5">
        <f>IF(I346="","",IF(F346="Address issue",0,COUNTIF($I$2:$I$1001,"address issue"))+COUNTIFS($I$2:$I$1001,"?*",$F$2:$F$1001,IF(F346="Address issue","Address issue","&lt;&gt;Address issue"),$H$2:$H$1001,"&gt;"&amp;H346)+1)</f>
        <v/>
      </c>
    </row>
    <row r="347">
      <c r="A347" s="11" t="n">
        <v>100346</v>
      </c>
      <c r="B347" s="11" t="inlineStr">
        <is>
          <t>Мексика</t>
        </is>
      </c>
      <c r="C347" s="11" t="inlineStr">
        <is>
          <t>AndesCargo</t>
        </is>
      </c>
      <c r="D347" s="11" t="inlineStr">
        <is>
          <t>AC59046346</t>
        </is>
      </c>
      <c r="E347" s="12" t="n">
        <v>46303</v>
      </c>
      <c r="F347" s="11" t="inlineStr">
        <is>
          <t>Delivered</t>
        </is>
      </c>
      <c r="G347" s="13" t="n">
        <v>46306</v>
      </c>
      <c r="H347" s="5">
        <f>IF(G347="","",Rules!$B$1-G347)</f>
        <v/>
      </c>
      <c r="I347" s="5">
        <f>IF(F347="Address issue","address issue",IF(OR(F347="Delivered",F347="Returned to sender",G347=""),"",IF(AND(Rules!$B$3&lt;&gt;"",F347="Held at customs",H347&gt;=Rules!$B$3),"customs &gt;= "&amp;Rules!$B$3&amp;" days",IF(H347&gt;=Rules!$B$2,"idle &gt;= "&amp;Rules!$B$2&amp;" days",""))))</f>
        <v/>
      </c>
      <c r="J347" s="5">
        <f>IF(I347="","",IF(F347="Address issue",0,COUNTIF($I$2:$I$1001,"address issue"))+COUNTIFS($I$2:$I$1001,"?*",$F$2:$F$1001,IF(F347="Address issue","Address issue","&lt;&gt;Address issue"),$H$2:$H$1001,"&gt;"&amp;H347)+1)</f>
        <v/>
      </c>
    </row>
    <row r="348">
      <c r="A348" s="11" t="n">
        <v>100347</v>
      </c>
      <c r="B348" s="11" t="inlineStr">
        <is>
          <t>Бразилія</t>
        </is>
      </c>
      <c r="C348" s="11" t="inlineStr">
        <is>
          <t>SwiftParcel</t>
        </is>
      </c>
      <c r="D348" s="11" t="inlineStr">
        <is>
          <t>SP9104764</t>
        </is>
      </c>
      <c r="E348" s="12" t="n">
        <v>46292</v>
      </c>
      <c r="F348" s="11" t="inlineStr">
        <is>
          <t>Delivered</t>
        </is>
      </c>
      <c r="G348" s="12" t="n">
        <v>46295</v>
      </c>
      <c r="H348" s="5">
        <f>IF(G348="","",Rules!$B$1-G348)</f>
        <v/>
      </c>
      <c r="I348" s="5">
        <f>IF(F348="Address issue","address issue",IF(OR(F348="Delivered",F348="Returned to sender",G348=""),"",IF(AND(Rules!$B$3&lt;&gt;"",F348="Held at customs",H348&gt;=Rules!$B$3),"customs &gt;= "&amp;Rules!$B$3&amp;" days",IF(H348&gt;=Rules!$B$2,"idle &gt;= "&amp;Rules!$B$2&amp;" days",""))))</f>
        <v/>
      </c>
      <c r="J348" s="5">
        <f>IF(I348="","",IF(F348="Address issue",0,COUNTIF($I$2:$I$1001,"address issue"))+COUNTIFS($I$2:$I$1001,"?*",$F$2:$F$1001,IF(F348="Address issue","Address issue","&lt;&gt;Address issue"),$H$2:$H$1001,"&gt;"&amp;H348)+1)</f>
        <v/>
      </c>
    </row>
    <row r="349">
      <c r="A349" s="11" t="n">
        <v>100348</v>
      </c>
      <c r="B349" s="11" t="inlineStr">
        <is>
          <t>Мексика</t>
        </is>
      </c>
      <c r="C349" s="11" t="inlineStr">
        <is>
          <t>AndesCargo</t>
        </is>
      </c>
      <c r="D349" s="11" t="inlineStr">
        <is>
          <t>AC73053889</t>
        </is>
      </c>
      <c r="E349" s="13" t="n">
        <v>46305</v>
      </c>
      <c r="F349" s="11" t="inlineStr">
        <is>
          <t>In transit</t>
        </is>
      </c>
      <c r="G349" s="13" t="n">
        <v>46307</v>
      </c>
      <c r="H349" s="5">
        <f>IF(G349="","",Rules!$B$1-G349)</f>
        <v/>
      </c>
      <c r="I349" s="5">
        <f>IF(F349="Address issue","address issue",IF(OR(F349="Delivered",F349="Returned to sender",G349=""),"",IF(AND(Rules!$B$3&lt;&gt;"",F349="Held at customs",H349&gt;=Rules!$B$3),"customs &gt;= "&amp;Rules!$B$3&amp;" days",IF(H349&gt;=Rules!$B$2,"idle &gt;= "&amp;Rules!$B$2&amp;" days",""))))</f>
        <v/>
      </c>
      <c r="J349" s="5">
        <f>IF(I349="","",IF(F349="Address issue",0,COUNTIF($I$2:$I$1001,"address issue"))+COUNTIFS($I$2:$I$1001,"?*",$F$2:$F$1001,IF(F349="Address issue","Address issue","&lt;&gt;Address issue"),$H$2:$H$1001,"&gt;"&amp;H349)+1)</f>
        <v/>
      </c>
    </row>
    <row r="350">
      <c r="A350" s="11" t="n">
        <v>100349</v>
      </c>
      <c r="B350" s="11" t="inlineStr">
        <is>
          <t>Бразилія</t>
        </is>
      </c>
      <c r="C350" s="11" t="inlineStr">
        <is>
          <t>SwiftParcel</t>
        </is>
      </c>
      <c r="D350" s="11" t="inlineStr">
        <is>
          <t>SP7880704</t>
        </is>
      </c>
      <c r="E350" s="12" t="n">
        <v>46283</v>
      </c>
      <c r="F350" s="11" t="inlineStr">
        <is>
          <t>In transit</t>
        </is>
      </c>
      <c r="G350" s="12" t="n">
        <v>46290</v>
      </c>
      <c r="H350" s="5">
        <f>IF(G350="","",Rules!$B$1-G350)</f>
        <v/>
      </c>
      <c r="I350" s="5">
        <f>IF(F350="Address issue","address issue",IF(OR(F350="Delivered",F350="Returned to sender",G350=""),"",IF(AND(Rules!$B$3&lt;&gt;"",F350="Held at customs",H350&gt;=Rules!$B$3),"customs &gt;= "&amp;Rules!$B$3&amp;" days",IF(H350&gt;=Rules!$B$2,"idle &gt;= "&amp;Rules!$B$2&amp;" days",""))))</f>
        <v/>
      </c>
      <c r="J350" s="5">
        <f>IF(I350="","",IF(F350="Address issue",0,COUNTIF($I$2:$I$1001,"address issue"))+COUNTIFS($I$2:$I$1001,"?*",$F$2:$F$1001,IF(F350="Address issue","Address issue","&lt;&gt;Address issue"),$H$2:$H$1001,"&gt;"&amp;H350)+1)</f>
        <v/>
      </c>
    </row>
    <row r="351">
      <c r="A351" s="11" t="n">
        <v>100350</v>
      </c>
      <c r="B351" s="11" t="inlineStr">
        <is>
          <t>Бразилія</t>
        </is>
      </c>
      <c r="C351" s="11" t="inlineStr">
        <is>
          <t>SwiftParcel</t>
        </is>
      </c>
      <c r="D351" s="11" t="inlineStr">
        <is>
          <t>SP6322177</t>
        </is>
      </c>
      <c r="E351" s="12" t="n">
        <v>46296</v>
      </c>
      <c r="F351" s="11" t="inlineStr">
        <is>
          <t>Returned to sender</t>
        </is>
      </c>
      <c r="G351" s="12" t="n">
        <v>46304</v>
      </c>
      <c r="H351" s="5">
        <f>IF(G351="","",Rules!$B$1-G351)</f>
        <v/>
      </c>
      <c r="I351" s="5">
        <f>IF(F351="Address issue","address issue",IF(OR(F351="Delivered",F351="Returned to sender",G351=""),"",IF(AND(Rules!$B$3&lt;&gt;"",F351="Held at customs",H351&gt;=Rules!$B$3),"customs &gt;= "&amp;Rules!$B$3&amp;" days",IF(H351&gt;=Rules!$B$2,"idle &gt;= "&amp;Rules!$B$2&amp;" days",""))))</f>
        <v/>
      </c>
      <c r="J351" s="5">
        <f>IF(I351="","",IF(F351="Address issue",0,COUNTIF($I$2:$I$1001,"address issue"))+COUNTIFS($I$2:$I$1001,"?*",$F$2:$F$1001,IF(F351="Address issue","Address issue","&lt;&gt;Address issue"),$H$2:$H$1001,"&gt;"&amp;H351)+1)</f>
        <v/>
      </c>
    </row>
    <row r="352">
      <c r="A352" s="11" t="n">
        <v>100351</v>
      </c>
      <c r="B352" s="11" t="inlineStr">
        <is>
          <t>Мексика</t>
        </is>
      </c>
      <c r="C352" s="11" t="inlineStr">
        <is>
          <t>AndesCargo</t>
        </is>
      </c>
      <c r="D352" s="11" t="inlineStr">
        <is>
          <t>AC59568414</t>
        </is>
      </c>
      <c r="E352" s="12" t="n">
        <v>46280</v>
      </c>
      <c r="F352" s="11" t="inlineStr">
        <is>
          <t>Delivered</t>
        </is>
      </c>
      <c r="G352" s="12" t="n">
        <v>46292</v>
      </c>
      <c r="H352" s="5">
        <f>IF(G352="","",Rules!$B$1-G352)</f>
        <v/>
      </c>
      <c r="I352" s="5">
        <f>IF(F352="Address issue","address issue",IF(OR(F352="Delivered",F352="Returned to sender",G352=""),"",IF(AND(Rules!$B$3&lt;&gt;"",F352="Held at customs",H352&gt;=Rules!$B$3),"customs &gt;= "&amp;Rules!$B$3&amp;" days",IF(H352&gt;=Rules!$B$2,"idle &gt;= "&amp;Rules!$B$2&amp;" days",""))))</f>
        <v/>
      </c>
      <c r="J352" s="5">
        <f>IF(I352="","",IF(F352="Address issue",0,COUNTIF($I$2:$I$1001,"address issue"))+COUNTIFS($I$2:$I$1001,"?*",$F$2:$F$1001,IF(F352="Address issue","Address issue","&lt;&gt;Address issue"),$H$2:$H$1001,"&gt;"&amp;H352)+1)</f>
        <v/>
      </c>
    </row>
    <row r="353">
      <c r="A353" s="11" t="n">
        <v>100352</v>
      </c>
      <c r="B353" s="11" t="inlineStr">
        <is>
          <t>Мексика</t>
        </is>
      </c>
      <c r="C353" s="11" t="inlineStr">
        <is>
          <t>AndesCargo</t>
        </is>
      </c>
      <c r="D353" s="11" t="inlineStr">
        <is>
          <t>AC24910255</t>
        </is>
      </c>
      <c r="E353" s="12" t="n">
        <v>46276</v>
      </c>
      <c r="F353" s="11" t="inlineStr">
        <is>
          <t>Delivered</t>
        </is>
      </c>
      <c r="G353" s="12" t="n">
        <v>46282</v>
      </c>
      <c r="H353" s="5">
        <f>IF(G353="","",Rules!$B$1-G353)</f>
        <v/>
      </c>
      <c r="I353" s="5">
        <f>IF(F353="Address issue","address issue",IF(OR(F353="Delivered",F353="Returned to sender",G353=""),"",IF(AND(Rules!$B$3&lt;&gt;"",F353="Held at customs",H353&gt;=Rules!$B$3),"customs &gt;= "&amp;Rules!$B$3&amp;" days",IF(H353&gt;=Rules!$B$2,"idle &gt;= "&amp;Rules!$B$2&amp;" days",""))))</f>
        <v/>
      </c>
      <c r="J353" s="5">
        <f>IF(I353="","",IF(F353="Address issue",0,COUNTIF($I$2:$I$1001,"address issue"))+COUNTIFS($I$2:$I$1001,"?*",$F$2:$F$1001,IF(F353="Address issue","Address issue","&lt;&gt;Address issue"),$H$2:$H$1001,"&gt;"&amp;H353)+1)</f>
        <v/>
      </c>
    </row>
    <row r="354">
      <c r="A354" s="11" t="n">
        <v>100353</v>
      </c>
      <c r="B354" s="11" t="inlineStr">
        <is>
          <t>Мексика</t>
        </is>
      </c>
      <c r="C354" s="11" t="inlineStr">
        <is>
          <t>AndesCargo</t>
        </is>
      </c>
      <c r="D354" s="11" t="inlineStr">
        <is>
          <t>AC22275625</t>
        </is>
      </c>
      <c r="E354" s="12" t="n">
        <v>46293</v>
      </c>
      <c r="F354" s="11" t="inlineStr">
        <is>
          <t>In transit</t>
        </is>
      </c>
      <c r="G354" s="12" t="n">
        <v>46297</v>
      </c>
      <c r="H354" s="5">
        <f>IF(G354="","",Rules!$B$1-G354)</f>
        <v/>
      </c>
      <c r="I354" s="5">
        <f>IF(F354="Address issue","address issue",IF(OR(F354="Delivered",F354="Returned to sender",G354=""),"",IF(AND(Rules!$B$3&lt;&gt;"",F354="Held at customs",H354&gt;=Rules!$B$3),"customs &gt;= "&amp;Rules!$B$3&amp;" days",IF(H354&gt;=Rules!$B$2,"idle &gt;= "&amp;Rules!$B$2&amp;" days",""))))</f>
        <v/>
      </c>
      <c r="J354" s="5">
        <f>IF(I354="","",IF(F354="Address issue",0,COUNTIF($I$2:$I$1001,"address issue"))+COUNTIFS($I$2:$I$1001,"?*",$F$2:$F$1001,IF(F354="Address issue","Address issue","&lt;&gt;Address issue"),$H$2:$H$1001,"&gt;"&amp;H354)+1)</f>
        <v/>
      </c>
    </row>
    <row r="355">
      <c r="A355" s="11" t="n">
        <v>100354</v>
      </c>
      <c r="B355" s="11" t="inlineStr">
        <is>
          <t>Мексика</t>
        </is>
      </c>
      <c r="C355" s="11" t="inlineStr">
        <is>
          <t>AndesCargo</t>
        </is>
      </c>
      <c r="D355" s="5" t="n"/>
      <c r="E355" s="12" t="n">
        <v>46288</v>
      </c>
      <c r="F355" s="5" t="n"/>
      <c r="G355" s="5" t="n"/>
      <c r="H355" s="5">
        <f>IF(G355="","",Rules!$B$1-G355)</f>
        <v/>
      </c>
      <c r="I355" s="5">
        <f>IF(F355="Address issue","address issue",IF(OR(F355="Delivered",F355="Returned to sender",G355=""),"",IF(AND(Rules!$B$3&lt;&gt;"",F355="Held at customs",H355&gt;=Rules!$B$3),"customs &gt;= "&amp;Rules!$B$3&amp;" days",IF(H355&gt;=Rules!$B$2,"idle &gt;= "&amp;Rules!$B$2&amp;" days",""))))</f>
        <v/>
      </c>
      <c r="J355" s="5">
        <f>IF(I355="","",IF(F355="Address issue",0,COUNTIF($I$2:$I$1001,"address issue"))+COUNTIFS($I$2:$I$1001,"?*",$F$2:$F$1001,IF(F355="Address issue","Address issue","&lt;&gt;Address issue"),$H$2:$H$1001,"&gt;"&amp;H355)+1)</f>
        <v/>
      </c>
    </row>
    <row r="356">
      <c r="A356" s="11" t="n">
        <v>100355</v>
      </c>
      <c r="B356" s="11" t="inlineStr">
        <is>
          <t>Бразилія</t>
        </is>
      </c>
      <c r="C356" s="11" t="inlineStr">
        <is>
          <t>SwiftParcel</t>
        </is>
      </c>
      <c r="D356" s="11" t="inlineStr">
        <is>
          <t>SP8346516</t>
        </is>
      </c>
      <c r="E356" s="12" t="n">
        <v>46286</v>
      </c>
      <c r="F356" s="11" t="inlineStr">
        <is>
          <t>In transit</t>
        </is>
      </c>
      <c r="G356" s="12" t="n">
        <v>46294</v>
      </c>
      <c r="H356" s="5">
        <f>IF(G356="","",Rules!$B$1-G356)</f>
        <v/>
      </c>
      <c r="I356" s="5">
        <f>IF(F356="Address issue","address issue",IF(OR(F356="Delivered",F356="Returned to sender",G356=""),"",IF(AND(Rules!$B$3&lt;&gt;"",F356="Held at customs",H356&gt;=Rules!$B$3),"customs &gt;= "&amp;Rules!$B$3&amp;" days",IF(H356&gt;=Rules!$B$2,"idle &gt;= "&amp;Rules!$B$2&amp;" days",""))))</f>
        <v/>
      </c>
      <c r="J356" s="5">
        <f>IF(I356="","",IF(F356="Address issue",0,COUNTIF($I$2:$I$1001,"address issue"))+COUNTIFS($I$2:$I$1001,"?*",$F$2:$F$1001,IF(F356="Address issue","Address issue","&lt;&gt;Address issue"),$H$2:$H$1001,"&gt;"&amp;H356)+1)</f>
        <v/>
      </c>
    </row>
    <row r="357">
      <c r="A357" s="11" t="n">
        <v>100356</v>
      </c>
      <c r="B357" s="11" t="inlineStr">
        <is>
          <t>Мексика</t>
        </is>
      </c>
      <c r="C357" s="11" t="inlineStr">
        <is>
          <t>AndesCargo</t>
        </is>
      </c>
      <c r="D357" s="11" t="inlineStr">
        <is>
          <t>AC74117143</t>
        </is>
      </c>
      <c r="E357" s="12" t="n">
        <v>46290</v>
      </c>
      <c r="F357" s="11" t="inlineStr">
        <is>
          <t>Held at customs</t>
        </is>
      </c>
      <c r="G357" s="12" t="n">
        <v>46296</v>
      </c>
      <c r="H357" s="5">
        <f>IF(G357="","",Rules!$B$1-G357)</f>
        <v/>
      </c>
      <c r="I357" s="5">
        <f>IF(F357="Address issue","address issue",IF(OR(F357="Delivered",F357="Returned to sender",G357=""),"",IF(AND(Rules!$B$3&lt;&gt;"",F357="Held at customs",H357&gt;=Rules!$B$3),"customs &gt;= "&amp;Rules!$B$3&amp;" days",IF(H357&gt;=Rules!$B$2,"idle &gt;= "&amp;Rules!$B$2&amp;" days",""))))</f>
        <v/>
      </c>
      <c r="J357" s="5">
        <f>IF(I357="","",IF(F357="Address issue",0,COUNTIF($I$2:$I$1001,"address issue"))+COUNTIFS($I$2:$I$1001,"?*",$F$2:$F$1001,IF(F357="Address issue","Address issue","&lt;&gt;Address issue"),$H$2:$H$1001,"&gt;"&amp;H357)+1)</f>
        <v/>
      </c>
    </row>
    <row r="358">
      <c r="A358" s="11" t="n">
        <v>100357</v>
      </c>
      <c r="B358" s="11" t="inlineStr">
        <is>
          <t>Канада</t>
        </is>
      </c>
      <c r="C358" s="11" t="inlineStr">
        <is>
          <t>PostLink</t>
        </is>
      </c>
      <c r="D358" s="11" t="inlineStr">
        <is>
          <t>PL68783095</t>
        </is>
      </c>
      <c r="E358" s="12" t="n">
        <v>46289</v>
      </c>
      <c r="F358" s="11" t="inlineStr">
        <is>
          <t>Delivered</t>
        </is>
      </c>
      <c r="G358" s="12" t="n">
        <v>46294</v>
      </c>
      <c r="H358" s="5">
        <f>IF(G358="","",Rules!$B$1-G358)</f>
        <v/>
      </c>
      <c r="I358" s="5">
        <f>IF(F358="Address issue","address issue",IF(OR(F358="Delivered",F358="Returned to sender",G358=""),"",IF(AND(Rules!$B$3&lt;&gt;"",F358="Held at customs",H358&gt;=Rules!$B$3),"customs &gt;= "&amp;Rules!$B$3&amp;" days",IF(H358&gt;=Rules!$B$2,"idle &gt;= "&amp;Rules!$B$2&amp;" days",""))))</f>
        <v/>
      </c>
      <c r="J358" s="5">
        <f>IF(I358="","",IF(F358="Address issue",0,COUNTIF($I$2:$I$1001,"address issue"))+COUNTIFS($I$2:$I$1001,"?*",$F$2:$F$1001,IF(F358="Address issue","Address issue","&lt;&gt;Address issue"),$H$2:$H$1001,"&gt;"&amp;H358)+1)</f>
        <v/>
      </c>
    </row>
    <row r="359">
      <c r="A359" s="11" t="n">
        <v>100358</v>
      </c>
      <c r="B359" s="11" t="inlineStr">
        <is>
          <t>Мексика</t>
        </is>
      </c>
      <c r="C359" s="11" t="inlineStr">
        <is>
          <t>AndesCargo</t>
        </is>
      </c>
      <c r="D359" s="11" t="inlineStr">
        <is>
          <t>AC99462470</t>
        </is>
      </c>
      <c r="E359" s="12" t="n">
        <v>46288</v>
      </c>
      <c r="F359" s="11" t="inlineStr">
        <is>
          <t>In transit</t>
        </is>
      </c>
      <c r="G359" s="12" t="n">
        <v>46295</v>
      </c>
      <c r="H359" s="5">
        <f>IF(G359="","",Rules!$B$1-G359)</f>
        <v/>
      </c>
      <c r="I359" s="5">
        <f>IF(F359="Address issue","address issue",IF(OR(F359="Delivered",F359="Returned to sender",G359=""),"",IF(AND(Rules!$B$3&lt;&gt;"",F359="Held at customs",H359&gt;=Rules!$B$3),"customs &gt;= "&amp;Rules!$B$3&amp;" days",IF(H359&gt;=Rules!$B$2,"idle &gt;= "&amp;Rules!$B$2&amp;" days",""))))</f>
        <v/>
      </c>
      <c r="J359" s="5">
        <f>IF(I359="","",IF(F359="Address issue",0,COUNTIF($I$2:$I$1001,"address issue"))+COUNTIFS($I$2:$I$1001,"?*",$F$2:$F$1001,IF(F359="Address issue","Address issue","&lt;&gt;Address issue"),$H$2:$H$1001,"&gt;"&amp;H359)+1)</f>
        <v/>
      </c>
    </row>
    <row r="360">
      <c r="A360" s="11" t="n">
        <v>100359</v>
      </c>
      <c r="B360" s="11" t="inlineStr">
        <is>
          <t>Канада</t>
        </is>
      </c>
      <c r="C360" s="11" t="inlineStr">
        <is>
          <t>PostLink</t>
        </is>
      </c>
      <c r="D360" s="11" t="inlineStr">
        <is>
          <t>PL74076129</t>
        </is>
      </c>
      <c r="E360" s="12" t="n">
        <v>46298</v>
      </c>
      <c r="F360" s="11" t="inlineStr">
        <is>
          <t>Label created</t>
        </is>
      </c>
      <c r="G360" s="12" t="n">
        <v>46298</v>
      </c>
      <c r="H360" s="5">
        <f>IF(G360="","",Rules!$B$1-G360)</f>
        <v/>
      </c>
      <c r="I360" s="5">
        <f>IF(F360="Address issue","address issue",IF(OR(F360="Delivered",F360="Returned to sender",G360=""),"",IF(AND(Rules!$B$3&lt;&gt;"",F360="Held at customs",H360&gt;=Rules!$B$3),"customs &gt;= "&amp;Rules!$B$3&amp;" days",IF(H360&gt;=Rules!$B$2,"idle &gt;= "&amp;Rules!$B$2&amp;" days",""))))</f>
        <v/>
      </c>
      <c r="J360" s="5">
        <f>IF(I360="","",IF(F360="Address issue",0,COUNTIF($I$2:$I$1001,"address issue"))+COUNTIFS($I$2:$I$1001,"?*",$F$2:$F$1001,IF(F360="Address issue","Address issue","&lt;&gt;Address issue"),$H$2:$H$1001,"&gt;"&amp;H360)+1)</f>
        <v/>
      </c>
    </row>
    <row r="361">
      <c r="A361" s="11" t="n">
        <v>100360</v>
      </c>
      <c r="B361" s="11" t="inlineStr">
        <is>
          <t>Мексика</t>
        </is>
      </c>
      <c r="C361" s="11" t="inlineStr">
        <is>
          <t>SwiftParcel</t>
        </is>
      </c>
      <c r="D361" s="11" t="inlineStr">
        <is>
          <t>SP3480269</t>
        </is>
      </c>
      <c r="E361" s="13" t="n">
        <v>46306</v>
      </c>
      <c r="F361" s="11" t="inlineStr">
        <is>
          <t>Delivered</t>
        </is>
      </c>
      <c r="G361" s="13" t="n">
        <v>46310</v>
      </c>
      <c r="H361" s="5">
        <f>IF(G361="","",Rules!$B$1-G361)</f>
        <v/>
      </c>
      <c r="I361" s="5">
        <f>IF(F361="Address issue","address issue",IF(OR(F361="Delivered",F361="Returned to sender",G361=""),"",IF(AND(Rules!$B$3&lt;&gt;"",F361="Held at customs",H361&gt;=Rules!$B$3),"customs &gt;= "&amp;Rules!$B$3&amp;" days",IF(H361&gt;=Rules!$B$2,"idle &gt;= "&amp;Rules!$B$2&amp;" days",""))))</f>
        <v/>
      </c>
      <c r="J361" s="5">
        <f>IF(I361="","",IF(F361="Address issue",0,COUNTIF($I$2:$I$1001,"address issue"))+COUNTIFS($I$2:$I$1001,"?*",$F$2:$F$1001,IF(F361="Address issue","Address issue","&lt;&gt;Address issue"),$H$2:$H$1001,"&gt;"&amp;H361)+1)</f>
        <v/>
      </c>
    </row>
    <row r="362">
      <c r="A362" s="11" t="n">
        <v>100361</v>
      </c>
      <c r="B362" s="11" t="inlineStr">
        <is>
          <t>Бразилія</t>
        </is>
      </c>
      <c r="C362" s="11" t="inlineStr">
        <is>
          <t>SwiftParcel</t>
        </is>
      </c>
      <c r="D362" s="11" t="inlineStr">
        <is>
          <t>SP5348200</t>
        </is>
      </c>
      <c r="E362" s="12" t="n">
        <v>46302</v>
      </c>
      <c r="F362" s="11" t="inlineStr">
        <is>
          <t>Held at customs</t>
        </is>
      </c>
      <c r="G362" s="13" t="n">
        <v>46308</v>
      </c>
      <c r="H362" s="5">
        <f>IF(G362="","",Rules!$B$1-G362)</f>
        <v/>
      </c>
      <c r="I362" s="5">
        <f>IF(F362="Address issue","address issue",IF(OR(F362="Delivered",F362="Returned to sender",G362=""),"",IF(AND(Rules!$B$3&lt;&gt;"",F362="Held at customs",H362&gt;=Rules!$B$3),"customs &gt;= "&amp;Rules!$B$3&amp;" days",IF(H362&gt;=Rules!$B$2,"idle &gt;= "&amp;Rules!$B$2&amp;" days",""))))</f>
        <v/>
      </c>
      <c r="J362" s="5">
        <f>IF(I362="","",IF(F362="Address issue",0,COUNTIF($I$2:$I$1001,"address issue"))+COUNTIFS($I$2:$I$1001,"?*",$F$2:$F$1001,IF(F362="Address issue","Address issue","&lt;&gt;Address issue"),$H$2:$H$1001,"&gt;"&amp;H362)+1)</f>
        <v/>
      </c>
    </row>
    <row r="363">
      <c r="A363" s="11" t="n">
        <v>100362</v>
      </c>
      <c r="B363" s="11" t="inlineStr">
        <is>
          <t>Мексика</t>
        </is>
      </c>
      <c r="C363" s="11" t="inlineStr">
        <is>
          <t>AndesCargo</t>
        </is>
      </c>
      <c r="D363" s="11" t="inlineStr">
        <is>
          <t>AC28594317</t>
        </is>
      </c>
      <c r="E363" s="12" t="n">
        <v>46286</v>
      </c>
      <c r="F363" s="11" t="inlineStr">
        <is>
          <t>Delivered</t>
        </is>
      </c>
      <c r="G363" s="12" t="n">
        <v>46293</v>
      </c>
      <c r="H363" s="5">
        <f>IF(G363="","",Rules!$B$1-G363)</f>
        <v/>
      </c>
      <c r="I363" s="5">
        <f>IF(F363="Address issue","address issue",IF(OR(F363="Delivered",F363="Returned to sender",G363=""),"",IF(AND(Rules!$B$3&lt;&gt;"",F363="Held at customs",H363&gt;=Rules!$B$3),"customs &gt;= "&amp;Rules!$B$3&amp;" days",IF(H363&gt;=Rules!$B$2,"idle &gt;= "&amp;Rules!$B$2&amp;" days",""))))</f>
        <v/>
      </c>
      <c r="J363" s="5">
        <f>IF(I363="","",IF(F363="Address issue",0,COUNTIF($I$2:$I$1001,"address issue"))+COUNTIFS($I$2:$I$1001,"?*",$F$2:$F$1001,IF(F363="Address issue","Address issue","&lt;&gt;Address issue"),$H$2:$H$1001,"&gt;"&amp;H363)+1)</f>
        <v/>
      </c>
    </row>
    <row r="364">
      <c r="A364" s="11" t="n">
        <v>100363</v>
      </c>
      <c r="B364" s="11" t="inlineStr">
        <is>
          <t>Бразилія</t>
        </is>
      </c>
      <c r="C364" s="11" t="inlineStr">
        <is>
          <t>SwiftParcel</t>
        </is>
      </c>
      <c r="D364" s="11" t="inlineStr">
        <is>
          <t>SP8478505</t>
        </is>
      </c>
      <c r="E364" s="12" t="n">
        <v>46302</v>
      </c>
      <c r="F364" s="11" t="inlineStr">
        <is>
          <t>Returned to sender</t>
        </is>
      </c>
      <c r="G364" s="12" t="n">
        <v>46303</v>
      </c>
      <c r="H364" s="5">
        <f>IF(G364="","",Rules!$B$1-G364)</f>
        <v/>
      </c>
      <c r="I364" s="5">
        <f>IF(F364="Address issue","address issue",IF(OR(F364="Delivered",F364="Returned to sender",G364=""),"",IF(AND(Rules!$B$3&lt;&gt;"",F364="Held at customs",H364&gt;=Rules!$B$3),"customs &gt;= "&amp;Rules!$B$3&amp;" days",IF(H364&gt;=Rules!$B$2,"idle &gt;= "&amp;Rules!$B$2&amp;" days",""))))</f>
        <v/>
      </c>
      <c r="J364" s="5">
        <f>IF(I364="","",IF(F364="Address issue",0,COUNTIF($I$2:$I$1001,"address issue"))+COUNTIFS($I$2:$I$1001,"?*",$F$2:$F$1001,IF(F364="Address issue","Address issue","&lt;&gt;Address issue"),$H$2:$H$1001,"&gt;"&amp;H364)+1)</f>
        <v/>
      </c>
    </row>
    <row r="365">
      <c r="A365" s="11" t="n">
        <v>100364</v>
      </c>
      <c r="B365" s="11" t="inlineStr">
        <is>
          <t>Мексика</t>
        </is>
      </c>
      <c r="C365" s="11" t="inlineStr">
        <is>
          <t>AndesCargo</t>
        </is>
      </c>
      <c r="D365" s="11" t="inlineStr">
        <is>
          <t>AC11965141</t>
        </is>
      </c>
      <c r="E365" s="13" t="n">
        <v>46305</v>
      </c>
      <c r="F365" s="11" t="inlineStr">
        <is>
          <t>In transit</t>
        </is>
      </c>
      <c r="G365" s="13" t="n">
        <v>46308</v>
      </c>
      <c r="H365" s="5">
        <f>IF(G365="","",Rules!$B$1-G365)</f>
        <v/>
      </c>
      <c r="I365" s="5">
        <f>IF(F365="Address issue","address issue",IF(OR(F365="Delivered",F365="Returned to sender",G365=""),"",IF(AND(Rules!$B$3&lt;&gt;"",F365="Held at customs",H365&gt;=Rules!$B$3),"customs &gt;= "&amp;Rules!$B$3&amp;" days",IF(H365&gt;=Rules!$B$2,"idle &gt;= "&amp;Rules!$B$2&amp;" days",""))))</f>
        <v/>
      </c>
      <c r="J365" s="5">
        <f>IF(I365="","",IF(F365="Address issue",0,COUNTIF($I$2:$I$1001,"address issue"))+COUNTIFS($I$2:$I$1001,"?*",$F$2:$F$1001,IF(F365="Address issue","Address issue","&lt;&gt;Address issue"),$H$2:$H$1001,"&gt;"&amp;H365)+1)</f>
        <v/>
      </c>
    </row>
    <row r="366">
      <c r="A366" s="11" t="n">
        <v>100365</v>
      </c>
      <c r="B366" s="11" t="inlineStr">
        <is>
          <t>Канада</t>
        </is>
      </c>
      <c r="C366" s="11" t="inlineStr">
        <is>
          <t>PostLink</t>
        </is>
      </c>
      <c r="D366" s="11" t="inlineStr">
        <is>
          <t>PL48024979</t>
        </is>
      </c>
      <c r="E366" s="12" t="n">
        <v>46302</v>
      </c>
      <c r="F366" s="11" t="inlineStr">
        <is>
          <t>In transit</t>
        </is>
      </c>
      <c r="G366" s="13" t="n">
        <v>46310</v>
      </c>
      <c r="H366" s="5">
        <f>IF(G366="","",Rules!$B$1-G366)</f>
        <v/>
      </c>
      <c r="I366" s="5">
        <f>IF(F366="Address issue","address issue",IF(OR(F366="Delivered",F366="Returned to sender",G366=""),"",IF(AND(Rules!$B$3&lt;&gt;"",F366="Held at customs",H366&gt;=Rules!$B$3),"customs &gt;= "&amp;Rules!$B$3&amp;" days",IF(H366&gt;=Rules!$B$2,"idle &gt;= "&amp;Rules!$B$2&amp;" days",""))))</f>
        <v/>
      </c>
      <c r="J366" s="5">
        <f>IF(I366="","",IF(F366="Address issue",0,COUNTIF($I$2:$I$1001,"address issue"))+COUNTIFS($I$2:$I$1001,"?*",$F$2:$F$1001,IF(F366="Address issue","Address issue","&lt;&gt;Address issue"),$H$2:$H$1001,"&gt;"&amp;H366)+1)</f>
        <v/>
      </c>
    </row>
    <row r="367">
      <c r="A367" s="11" t="n">
        <v>100366</v>
      </c>
      <c r="B367" s="11" t="inlineStr">
        <is>
          <t>Бразилія</t>
        </is>
      </c>
      <c r="C367" s="11" t="inlineStr">
        <is>
          <t>SwiftParcel</t>
        </is>
      </c>
      <c r="D367" s="11" t="inlineStr">
        <is>
          <t>SP1363311</t>
        </is>
      </c>
      <c r="E367" s="12" t="n">
        <v>46269</v>
      </c>
      <c r="F367" s="11" t="inlineStr">
        <is>
          <t>Delivered</t>
        </is>
      </c>
      <c r="G367" s="12" t="n">
        <v>46280</v>
      </c>
      <c r="H367" s="5">
        <f>IF(G367="","",Rules!$B$1-G367)</f>
        <v/>
      </c>
      <c r="I367" s="5">
        <f>IF(F367="Address issue","address issue",IF(OR(F367="Delivered",F367="Returned to sender",G367=""),"",IF(AND(Rules!$B$3&lt;&gt;"",F367="Held at customs",H367&gt;=Rules!$B$3),"customs &gt;= "&amp;Rules!$B$3&amp;" days",IF(H367&gt;=Rules!$B$2,"idle &gt;= "&amp;Rules!$B$2&amp;" days",""))))</f>
        <v/>
      </c>
      <c r="J367" s="5">
        <f>IF(I367="","",IF(F367="Address issue",0,COUNTIF($I$2:$I$1001,"address issue"))+COUNTIFS($I$2:$I$1001,"?*",$F$2:$F$1001,IF(F367="Address issue","Address issue","&lt;&gt;Address issue"),$H$2:$H$1001,"&gt;"&amp;H367)+1)</f>
        <v/>
      </c>
    </row>
    <row r="368">
      <c r="A368" s="11" t="n">
        <v>100367</v>
      </c>
      <c r="B368" s="11" t="inlineStr">
        <is>
          <t>Бразилія</t>
        </is>
      </c>
      <c r="C368" s="11" t="inlineStr">
        <is>
          <t>SwiftParcel</t>
        </is>
      </c>
      <c r="D368" s="11" t="inlineStr">
        <is>
          <t>SP8505514</t>
        </is>
      </c>
      <c r="E368" s="12" t="n">
        <v>46281</v>
      </c>
      <c r="F368" s="11" t="inlineStr">
        <is>
          <t>Delivered</t>
        </is>
      </c>
      <c r="G368" s="12" t="n">
        <v>46289</v>
      </c>
      <c r="H368" s="5">
        <f>IF(G368="","",Rules!$B$1-G368)</f>
        <v/>
      </c>
      <c r="I368" s="5">
        <f>IF(F368="Address issue","address issue",IF(OR(F368="Delivered",F368="Returned to sender",G368=""),"",IF(AND(Rules!$B$3&lt;&gt;"",F368="Held at customs",H368&gt;=Rules!$B$3),"customs &gt;= "&amp;Rules!$B$3&amp;" days",IF(H368&gt;=Rules!$B$2,"idle &gt;= "&amp;Rules!$B$2&amp;" days",""))))</f>
        <v/>
      </c>
      <c r="J368" s="5">
        <f>IF(I368="","",IF(F368="Address issue",0,COUNTIF($I$2:$I$1001,"address issue"))+COUNTIFS($I$2:$I$1001,"?*",$F$2:$F$1001,IF(F368="Address issue","Address issue","&lt;&gt;Address issue"),$H$2:$H$1001,"&gt;"&amp;H368)+1)</f>
        <v/>
      </c>
    </row>
    <row r="369">
      <c r="A369" s="11" t="n">
        <v>100368</v>
      </c>
      <c r="B369" s="11" t="inlineStr">
        <is>
          <t>Мексика</t>
        </is>
      </c>
      <c r="C369" s="11" t="inlineStr">
        <is>
          <t>AndesCargo</t>
        </is>
      </c>
      <c r="D369" s="11" t="inlineStr">
        <is>
          <t>AC15863120</t>
        </is>
      </c>
      <c r="E369" s="12" t="n">
        <v>46288</v>
      </c>
      <c r="F369" s="11" t="inlineStr">
        <is>
          <t>Delivered</t>
        </is>
      </c>
      <c r="G369" s="12" t="n">
        <v>46300</v>
      </c>
      <c r="H369" s="5">
        <f>IF(G369="","",Rules!$B$1-G369)</f>
        <v/>
      </c>
      <c r="I369" s="5">
        <f>IF(F369="Address issue","address issue",IF(OR(F369="Delivered",F369="Returned to sender",G369=""),"",IF(AND(Rules!$B$3&lt;&gt;"",F369="Held at customs",H369&gt;=Rules!$B$3),"customs &gt;= "&amp;Rules!$B$3&amp;" days",IF(H369&gt;=Rules!$B$2,"idle &gt;= "&amp;Rules!$B$2&amp;" days",""))))</f>
        <v/>
      </c>
      <c r="J369" s="5">
        <f>IF(I369="","",IF(F369="Address issue",0,COUNTIF($I$2:$I$1001,"address issue"))+COUNTIFS($I$2:$I$1001,"?*",$F$2:$F$1001,IF(F369="Address issue","Address issue","&lt;&gt;Address issue"),$H$2:$H$1001,"&gt;"&amp;H369)+1)</f>
        <v/>
      </c>
    </row>
    <row r="370">
      <c r="A370" s="11" t="n">
        <v>100369</v>
      </c>
      <c r="B370" s="11" t="inlineStr">
        <is>
          <t>Мексика</t>
        </is>
      </c>
      <c r="C370" s="11" t="inlineStr">
        <is>
          <t>AndesCargo</t>
        </is>
      </c>
      <c r="D370" s="11" t="inlineStr">
        <is>
          <t>AC25742774</t>
        </is>
      </c>
      <c r="E370" s="12" t="n">
        <v>46304</v>
      </c>
      <c r="F370" s="11" t="inlineStr">
        <is>
          <t>Delivered</t>
        </is>
      </c>
      <c r="G370" s="13" t="n">
        <v>46307</v>
      </c>
      <c r="H370" s="5">
        <f>IF(G370="","",Rules!$B$1-G370)</f>
        <v/>
      </c>
      <c r="I370" s="5">
        <f>IF(F370="Address issue","address issue",IF(OR(F370="Delivered",F370="Returned to sender",G370=""),"",IF(AND(Rules!$B$3&lt;&gt;"",F370="Held at customs",H370&gt;=Rules!$B$3),"customs &gt;= "&amp;Rules!$B$3&amp;" days",IF(H370&gt;=Rules!$B$2,"idle &gt;= "&amp;Rules!$B$2&amp;" days",""))))</f>
        <v/>
      </c>
      <c r="J370" s="5">
        <f>IF(I370="","",IF(F370="Address issue",0,COUNTIF($I$2:$I$1001,"address issue"))+COUNTIFS($I$2:$I$1001,"?*",$F$2:$F$1001,IF(F370="Address issue","Address issue","&lt;&gt;Address issue"),$H$2:$H$1001,"&gt;"&amp;H370)+1)</f>
        <v/>
      </c>
    </row>
    <row r="371">
      <c r="A371" s="11" t="n">
        <v>100370</v>
      </c>
      <c r="B371" s="11" t="inlineStr">
        <is>
          <t>Мексика</t>
        </is>
      </c>
      <c r="C371" s="11" t="inlineStr">
        <is>
          <t>AndesCargo</t>
        </is>
      </c>
      <c r="D371" s="11" t="inlineStr">
        <is>
          <t>AC31729793</t>
        </is>
      </c>
      <c r="E371" s="12" t="n">
        <v>46279</v>
      </c>
      <c r="F371" s="11" t="inlineStr">
        <is>
          <t>Delivered</t>
        </is>
      </c>
      <c r="G371" s="12" t="n">
        <v>46285</v>
      </c>
      <c r="H371" s="5">
        <f>IF(G371="","",Rules!$B$1-G371)</f>
        <v/>
      </c>
      <c r="I371" s="5">
        <f>IF(F371="Address issue","address issue",IF(OR(F371="Delivered",F371="Returned to sender",G371=""),"",IF(AND(Rules!$B$3&lt;&gt;"",F371="Held at customs",H371&gt;=Rules!$B$3),"customs &gt;= "&amp;Rules!$B$3&amp;" days",IF(H371&gt;=Rules!$B$2,"idle &gt;= "&amp;Rules!$B$2&amp;" days",""))))</f>
        <v/>
      </c>
      <c r="J371" s="5">
        <f>IF(I371="","",IF(F371="Address issue",0,COUNTIF($I$2:$I$1001,"address issue"))+COUNTIFS($I$2:$I$1001,"?*",$F$2:$F$1001,IF(F371="Address issue","Address issue","&lt;&gt;Address issue"),$H$2:$H$1001,"&gt;"&amp;H371)+1)</f>
        <v/>
      </c>
    </row>
    <row r="372">
      <c r="A372" s="11" t="n">
        <v>100371</v>
      </c>
      <c r="B372" s="11" t="inlineStr">
        <is>
          <t>Канада</t>
        </is>
      </c>
      <c r="C372" s="11" t="inlineStr">
        <is>
          <t>PostLink</t>
        </is>
      </c>
      <c r="D372" s="11" t="inlineStr">
        <is>
          <t>PL77606384</t>
        </is>
      </c>
      <c r="E372" s="12" t="n">
        <v>46300</v>
      </c>
      <c r="F372" s="11" t="inlineStr">
        <is>
          <t>Delivered</t>
        </is>
      </c>
      <c r="G372" s="12" t="n">
        <v>46304</v>
      </c>
      <c r="H372" s="5">
        <f>IF(G372="","",Rules!$B$1-G372)</f>
        <v/>
      </c>
      <c r="I372" s="5">
        <f>IF(F372="Address issue","address issue",IF(OR(F372="Delivered",F372="Returned to sender",G372=""),"",IF(AND(Rules!$B$3&lt;&gt;"",F372="Held at customs",H372&gt;=Rules!$B$3),"customs &gt;= "&amp;Rules!$B$3&amp;" days",IF(H372&gt;=Rules!$B$2,"idle &gt;= "&amp;Rules!$B$2&amp;" days",""))))</f>
        <v/>
      </c>
      <c r="J372" s="5">
        <f>IF(I372="","",IF(F372="Address issue",0,COUNTIF($I$2:$I$1001,"address issue"))+COUNTIFS($I$2:$I$1001,"?*",$F$2:$F$1001,IF(F372="Address issue","Address issue","&lt;&gt;Address issue"),$H$2:$H$1001,"&gt;"&amp;H372)+1)</f>
        <v/>
      </c>
    </row>
    <row r="373">
      <c r="A373" s="11" t="n">
        <v>100372</v>
      </c>
      <c r="B373" s="11" t="inlineStr">
        <is>
          <t>Канада</t>
        </is>
      </c>
      <c r="C373" s="11" t="inlineStr">
        <is>
          <t>PostLink</t>
        </is>
      </c>
      <c r="D373" s="11" t="inlineStr">
        <is>
          <t>PL48374582</t>
        </is>
      </c>
      <c r="E373" s="13" t="n">
        <v>46305</v>
      </c>
      <c r="F373" s="11" t="inlineStr">
        <is>
          <t>In transit</t>
        </is>
      </c>
      <c r="G373" s="13" t="n">
        <v>46308</v>
      </c>
      <c r="H373" s="5">
        <f>IF(G373="","",Rules!$B$1-G373)</f>
        <v/>
      </c>
      <c r="I373" s="5">
        <f>IF(F373="Address issue","address issue",IF(OR(F373="Delivered",F373="Returned to sender",G373=""),"",IF(AND(Rules!$B$3&lt;&gt;"",F373="Held at customs",H373&gt;=Rules!$B$3),"customs &gt;= "&amp;Rules!$B$3&amp;" days",IF(H373&gt;=Rules!$B$2,"idle &gt;= "&amp;Rules!$B$2&amp;" days",""))))</f>
        <v/>
      </c>
      <c r="J373" s="5">
        <f>IF(I373="","",IF(F373="Address issue",0,COUNTIF($I$2:$I$1001,"address issue"))+COUNTIFS($I$2:$I$1001,"?*",$F$2:$F$1001,IF(F373="Address issue","Address issue","&lt;&gt;Address issue"),$H$2:$H$1001,"&gt;"&amp;H373)+1)</f>
        <v/>
      </c>
    </row>
    <row r="374">
      <c r="A374" s="11" t="n">
        <v>100373</v>
      </c>
      <c r="B374" s="11" t="inlineStr">
        <is>
          <t>Мексика</t>
        </is>
      </c>
      <c r="C374" s="11" t="inlineStr">
        <is>
          <t>AndesCargo</t>
        </is>
      </c>
      <c r="D374" s="11" t="inlineStr">
        <is>
          <t>AC45547948</t>
        </is>
      </c>
      <c r="E374" s="12" t="n">
        <v>46271</v>
      </c>
      <c r="F374" s="11" t="inlineStr">
        <is>
          <t>Delivered</t>
        </is>
      </c>
      <c r="G374" s="12" t="n">
        <v>46283</v>
      </c>
      <c r="H374" s="5">
        <f>IF(G374="","",Rules!$B$1-G374)</f>
        <v/>
      </c>
      <c r="I374" s="5">
        <f>IF(F374="Address issue","address issue",IF(OR(F374="Delivered",F374="Returned to sender",G374=""),"",IF(AND(Rules!$B$3&lt;&gt;"",F374="Held at customs",H374&gt;=Rules!$B$3),"customs &gt;= "&amp;Rules!$B$3&amp;" days",IF(H374&gt;=Rules!$B$2,"idle &gt;= "&amp;Rules!$B$2&amp;" days",""))))</f>
        <v/>
      </c>
      <c r="J374" s="5">
        <f>IF(I374="","",IF(F374="Address issue",0,COUNTIF($I$2:$I$1001,"address issue"))+COUNTIFS($I$2:$I$1001,"?*",$F$2:$F$1001,IF(F374="Address issue","Address issue","&lt;&gt;Address issue"),$H$2:$H$1001,"&gt;"&amp;H374)+1)</f>
        <v/>
      </c>
    </row>
    <row r="375">
      <c r="A375" s="11" t="n">
        <v>100374</v>
      </c>
      <c r="B375" s="11" t="inlineStr">
        <is>
          <t>Мексика</t>
        </is>
      </c>
      <c r="C375" s="11" t="inlineStr">
        <is>
          <t>AndesCargo</t>
        </is>
      </c>
      <c r="D375" s="11" t="inlineStr">
        <is>
          <t>AC73701420</t>
        </is>
      </c>
      <c r="E375" s="12" t="n">
        <v>46299</v>
      </c>
      <c r="F375" s="11" t="inlineStr">
        <is>
          <t>Returned to sender</t>
        </is>
      </c>
      <c r="G375" s="12" t="n">
        <v>46304</v>
      </c>
      <c r="H375" s="5">
        <f>IF(G375="","",Rules!$B$1-G375)</f>
        <v/>
      </c>
      <c r="I375" s="5">
        <f>IF(F375="Address issue","address issue",IF(OR(F375="Delivered",F375="Returned to sender",G375=""),"",IF(AND(Rules!$B$3&lt;&gt;"",F375="Held at customs",H375&gt;=Rules!$B$3),"customs &gt;= "&amp;Rules!$B$3&amp;" days",IF(H375&gt;=Rules!$B$2,"idle &gt;= "&amp;Rules!$B$2&amp;" days",""))))</f>
        <v/>
      </c>
      <c r="J375" s="5">
        <f>IF(I375="","",IF(F375="Address issue",0,COUNTIF($I$2:$I$1001,"address issue"))+COUNTIFS($I$2:$I$1001,"?*",$F$2:$F$1001,IF(F375="Address issue","Address issue","&lt;&gt;Address issue"),$H$2:$H$1001,"&gt;"&amp;H375)+1)</f>
        <v/>
      </c>
    </row>
    <row r="376">
      <c r="A376" s="11" t="n">
        <v>100375</v>
      </c>
      <c r="B376" s="11" t="inlineStr">
        <is>
          <t>Канада</t>
        </is>
      </c>
      <c r="C376" s="11" t="inlineStr">
        <is>
          <t>PostLink</t>
        </is>
      </c>
      <c r="D376" s="11" t="inlineStr">
        <is>
          <t>PL95461697</t>
        </is>
      </c>
      <c r="E376" s="12" t="n">
        <v>46299</v>
      </c>
      <c r="F376" s="11" t="inlineStr">
        <is>
          <t>In transit</t>
        </is>
      </c>
      <c r="G376" s="12" t="n">
        <v>46300</v>
      </c>
      <c r="H376" s="5">
        <f>IF(G376="","",Rules!$B$1-G376)</f>
        <v/>
      </c>
      <c r="I376" s="5">
        <f>IF(F376="Address issue","address issue",IF(OR(F376="Delivered",F376="Returned to sender",G376=""),"",IF(AND(Rules!$B$3&lt;&gt;"",F376="Held at customs",H376&gt;=Rules!$B$3),"customs &gt;= "&amp;Rules!$B$3&amp;" days",IF(H376&gt;=Rules!$B$2,"idle &gt;= "&amp;Rules!$B$2&amp;" days",""))))</f>
        <v/>
      </c>
      <c r="J376" s="5">
        <f>IF(I376="","",IF(F376="Address issue",0,COUNTIF($I$2:$I$1001,"address issue"))+COUNTIFS($I$2:$I$1001,"?*",$F$2:$F$1001,IF(F376="Address issue","Address issue","&lt;&gt;Address issue"),$H$2:$H$1001,"&gt;"&amp;H376)+1)</f>
        <v/>
      </c>
    </row>
    <row r="377">
      <c r="A377" s="11" t="n">
        <v>100376</v>
      </c>
      <c r="B377" s="11" t="inlineStr">
        <is>
          <t>Бразилія</t>
        </is>
      </c>
      <c r="C377" s="11" t="inlineStr">
        <is>
          <t>AndesCargo</t>
        </is>
      </c>
      <c r="D377" s="11" t="inlineStr">
        <is>
          <t>AC57644132</t>
        </is>
      </c>
      <c r="E377" s="12" t="n">
        <v>46301</v>
      </c>
      <c r="F377" s="11" t="inlineStr">
        <is>
          <t>In transit</t>
        </is>
      </c>
      <c r="G377" s="13" t="n">
        <v>46307</v>
      </c>
      <c r="H377" s="5">
        <f>IF(G377="","",Rules!$B$1-G377)</f>
        <v/>
      </c>
      <c r="I377" s="5">
        <f>IF(F377="Address issue","address issue",IF(OR(F377="Delivered",F377="Returned to sender",G377=""),"",IF(AND(Rules!$B$3&lt;&gt;"",F377="Held at customs",H377&gt;=Rules!$B$3),"customs &gt;= "&amp;Rules!$B$3&amp;" days",IF(H377&gt;=Rules!$B$2,"idle &gt;= "&amp;Rules!$B$2&amp;" days",""))))</f>
        <v/>
      </c>
      <c r="J377" s="5">
        <f>IF(I377="","",IF(F377="Address issue",0,COUNTIF($I$2:$I$1001,"address issue"))+COUNTIFS($I$2:$I$1001,"?*",$F$2:$F$1001,IF(F377="Address issue","Address issue","&lt;&gt;Address issue"),$H$2:$H$1001,"&gt;"&amp;H377)+1)</f>
        <v/>
      </c>
    </row>
    <row r="378">
      <c r="A378" s="11" t="n">
        <v>100377</v>
      </c>
      <c r="B378" s="11" t="inlineStr">
        <is>
          <t>Канада</t>
        </is>
      </c>
      <c r="C378" s="11" t="inlineStr">
        <is>
          <t>PostLink</t>
        </is>
      </c>
      <c r="D378" s="11" t="inlineStr">
        <is>
          <t>PL40797433</t>
        </is>
      </c>
      <c r="E378" s="12" t="n">
        <v>46299</v>
      </c>
      <c r="F378" s="11" t="inlineStr">
        <is>
          <t>Delivered</t>
        </is>
      </c>
      <c r="G378" s="13" t="n">
        <v>46305</v>
      </c>
      <c r="H378" s="5">
        <f>IF(G378="","",Rules!$B$1-G378)</f>
        <v/>
      </c>
      <c r="I378" s="5">
        <f>IF(F378="Address issue","address issue",IF(OR(F378="Delivered",F378="Returned to sender",G378=""),"",IF(AND(Rules!$B$3&lt;&gt;"",F378="Held at customs",H378&gt;=Rules!$B$3),"customs &gt;= "&amp;Rules!$B$3&amp;" days",IF(H378&gt;=Rules!$B$2,"idle &gt;= "&amp;Rules!$B$2&amp;" days",""))))</f>
        <v/>
      </c>
      <c r="J378" s="5">
        <f>IF(I378="","",IF(F378="Address issue",0,COUNTIF($I$2:$I$1001,"address issue"))+COUNTIFS($I$2:$I$1001,"?*",$F$2:$F$1001,IF(F378="Address issue","Address issue","&lt;&gt;Address issue"),$H$2:$H$1001,"&gt;"&amp;H378)+1)</f>
        <v/>
      </c>
    </row>
    <row r="379">
      <c r="A379" s="11" t="n">
        <v>100378</v>
      </c>
      <c r="B379" s="11" t="inlineStr">
        <is>
          <t>Канада</t>
        </is>
      </c>
      <c r="C379" s="11" t="inlineStr">
        <is>
          <t>PostLink</t>
        </is>
      </c>
      <c r="D379" s="11" t="inlineStr">
        <is>
          <t>PL53201892</t>
        </is>
      </c>
      <c r="E379" s="12" t="n">
        <v>46298</v>
      </c>
      <c r="F379" s="11" t="inlineStr">
        <is>
          <t>Delivered</t>
        </is>
      </c>
      <c r="G379" s="13" t="n">
        <v>46308</v>
      </c>
      <c r="H379" s="5">
        <f>IF(G379="","",Rules!$B$1-G379)</f>
        <v/>
      </c>
      <c r="I379" s="5">
        <f>IF(F379="Address issue","address issue",IF(OR(F379="Delivered",F379="Returned to sender",G379=""),"",IF(AND(Rules!$B$3&lt;&gt;"",F379="Held at customs",H379&gt;=Rules!$B$3),"customs &gt;= "&amp;Rules!$B$3&amp;" days",IF(H379&gt;=Rules!$B$2,"idle &gt;= "&amp;Rules!$B$2&amp;" days",""))))</f>
        <v/>
      </c>
      <c r="J379" s="5">
        <f>IF(I379="","",IF(F379="Address issue",0,COUNTIF($I$2:$I$1001,"address issue"))+COUNTIFS($I$2:$I$1001,"?*",$F$2:$F$1001,IF(F379="Address issue","Address issue","&lt;&gt;Address issue"),$H$2:$H$1001,"&gt;"&amp;H379)+1)</f>
        <v/>
      </c>
    </row>
    <row r="380">
      <c r="A380" s="11" t="n">
        <v>100379</v>
      </c>
      <c r="B380" s="11" t="inlineStr">
        <is>
          <t>Мексика</t>
        </is>
      </c>
      <c r="C380" s="11" t="inlineStr">
        <is>
          <t>AndesCargo</t>
        </is>
      </c>
      <c r="D380" s="11" t="inlineStr">
        <is>
          <t>AC61195853</t>
        </is>
      </c>
      <c r="E380" s="12" t="n">
        <v>46295</v>
      </c>
      <c r="F380" s="11" t="inlineStr">
        <is>
          <t>Delivered</t>
        </is>
      </c>
      <c r="G380" s="13" t="n">
        <v>46306</v>
      </c>
      <c r="H380" s="5">
        <f>IF(G380="","",Rules!$B$1-G380)</f>
        <v/>
      </c>
      <c r="I380" s="5">
        <f>IF(F380="Address issue","address issue",IF(OR(F380="Delivered",F380="Returned to sender",G380=""),"",IF(AND(Rules!$B$3&lt;&gt;"",F380="Held at customs",H380&gt;=Rules!$B$3),"customs &gt;= "&amp;Rules!$B$3&amp;" days",IF(H380&gt;=Rules!$B$2,"idle &gt;= "&amp;Rules!$B$2&amp;" days",""))))</f>
        <v/>
      </c>
      <c r="J380" s="5">
        <f>IF(I380="","",IF(F380="Address issue",0,COUNTIF($I$2:$I$1001,"address issue"))+COUNTIFS($I$2:$I$1001,"?*",$F$2:$F$1001,IF(F380="Address issue","Address issue","&lt;&gt;Address issue"),$H$2:$H$1001,"&gt;"&amp;H380)+1)</f>
        <v/>
      </c>
    </row>
    <row r="381">
      <c r="A381" s="11" t="n">
        <v>100380</v>
      </c>
      <c r="B381" s="11" t="inlineStr">
        <is>
          <t>Мексика</t>
        </is>
      </c>
      <c r="C381" s="11" t="inlineStr">
        <is>
          <t>AndesCargo</t>
        </is>
      </c>
      <c r="D381" s="11" t="inlineStr">
        <is>
          <t>AC73373186</t>
        </is>
      </c>
      <c r="E381" s="12" t="n">
        <v>46303</v>
      </c>
      <c r="F381" s="11" t="inlineStr">
        <is>
          <t>In transit</t>
        </is>
      </c>
      <c r="G381" s="12" t="n">
        <v>46304</v>
      </c>
      <c r="H381" s="5">
        <f>IF(G381="","",Rules!$B$1-G381)</f>
        <v/>
      </c>
      <c r="I381" s="5">
        <f>IF(F381="Address issue","address issue",IF(OR(F381="Delivered",F381="Returned to sender",G381=""),"",IF(AND(Rules!$B$3&lt;&gt;"",F381="Held at customs",H381&gt;=Rules!$B$3),"customs &gt;= "&amp;Rules!$B$3&amp;" days",IF(H381&gt;=Rules!$B$2,"idle &gt;= "&amp;Rules!$B$2&amp;" days",""))))</f>
        <v/>
      </c>
      <c r="J381" s="5">
        <f>IF(I381="","",IF(F381="Address issue",0,COUNTIF($I$2:$I$1001,"address issue"))+COUNTIFS($I$2:$I$1001,"?*",$F$2:$F$1001,IF(F381="Address issue","Address issue","&lt;&gt;Address issue"),$H$2:$H$1001,"&gt;"&amp;H381)+1)</f>
        <v/>
      </c>
    </row>
    <row r="382">
      <c r="A382" s="11" t="n">
        <v>100381</v>
      </c>
      <c r="B382" s="11" t="inlineStr">
        <is>
          <t>Канада</t>
        </is>
      </c>
      <c r="C382" s="11" t="inlineStr">
        <is>
          <t>PostLink</t>
        </is>
      </c>
      <c r="D382" s="11" t="inlineStr">
        <is>
          <t>PL95445284</t>
        </is>
      </c>
      <c r="E382" s="13" t="n">
        <v>46306</v>
      </c>
      <c r="F382" s="11" t="inlineStr">
        <is>
          <t>In transit</t>
        </is>
      </c>
      <c r="G382" s="13" t="n">
        <v>46309</v>
      </c>
      <c r="H382" s="5">
        <f>IF(G382="","",Rules!$B$1-G382)</f>
        <v/>
      </c>
      <c r="I382" s="5">
        <f>IF(F382="Address issue","address issue",IF(OR(F382="Delivered",F382="Returned to sender",G382=""),"",IF(AND(Rules!$B$3&lt;&gt;"",F382="Held at customs",H382&gt;=Rules!$B$3),"customs &gt;= "&amp;Rules!$B$3&amp;" days",IF(H382&gt;=Rules!$B$2,"idle &gt;= "&amp;Rules!$B$2&amp;" days",""))))</f>
        <v/>
      </c>
      <c r="J382" s="5">
        <f>IF(I382="","",IF(F382="Address issue",0,COUNTIF($I$2:$I$1001,"address issue"))+COUNTIFS($I$2:$I$1001,"?*",$F$2:$F$1001,IF(F382="Address issue","Address issue","&lt;&gt;Address issue"),$H$2:$H$1001,"&gt;"&amp;H382)+1)</f>
        <v/>
      </c>
    </row>
    <row r="383">
      <c r="A383" s="11" t="n">
        <v>100382</v>
      </c>
      <c r="B383" s="11" t="inlineStr">
        <is>
          <t>Мексика</t>
        </is>
      </c>
      <c r="C383" s="11" t="inlineStr">
        <is>
          <t>AndesCargo</t>
        </is>
      </c>
      <c r="D383" s="11" t="inlineStr">
        <is>
          <t>AC71345735</t>
        </is>
      </c>
      <c r="E383" s="12" t="n">
        <v>46277</v>
      </c>
      <c r="F383" s="11" t="inlineStr">
        <is>
          <t>Delivered</t>
        </is>
      </c>
      <c r="G383" s="12" t="n">
        <v>46286</v>
      </c>
      <c r="H383" s="5">
        <f>IF(G383="","",Rules!$B$1-G383)</f>
        <v/>
      </c>
      <c r="I383" s="5">
        <f>IF(F383="Address issue","address issue",IF(OR(F383="Delivered",F383="Returned to sender",G383=""),"",IF(AND(Rules!$B$3&lt;&gt;"",F383="Held at customs",H383&gt;=Rules!$B$3),"customs &gt;= "&amp;Rules!$B$3&amp;" days",IF(H383&gt;=Rules!$B$2,"idle &gt;= "&amp;Rules!$B$2&amp;" days",""))))</f>
        <v/>
      </c>
      <c r="J383" s="5">
        <f>IF(I383="","",IF(F383="Address issue",0,COUNTIF($I$2:$I$1001,"address issue"))+COUNTIFS($I$2:$I$1001,"?*",$F$2:$F$1001,IF(F383="Address issue","Address issue","&lt;&gt;Address issue"),$H$2:$H$1001,"&gt;"&amp;H383)+1)</f>
        <v/>
      </c>
    </row>
    <row r="384">
      <c r="A384" s="11" t="n">
        <v>100383</v>
      </c>
      <c r="B384" s="11" t="inlineStr">
        <is>
          <t>Мексика</t>
        </is>
      </c>
      <c r="C384" s="11" t="inlineStr">
        <is>
          <t>AndesCargo</t>
        </is>
      </c>
      <c r="D384" s="11" t="inlineStr">
        <is>
          <t>AC96628656</t>
        </is>
      </c>
      <c r="E384" s="12" t="n">
        <v>46293</v>
      </c>
      <c r="F384" s="11" t="inlineStr">
        <is>
          <t>Delivered</t>
        </is>
      </c>
      <c r="G384" s="12" t="n">
        <v>46303</v>
      </c>
      <c r="H384" s="5">
        <f>IF(G384="","",Rules!$B$1-G384)</f>
        <v/>
      </c>
      <c r="I384" s="5">
        <f>IF(F384="Address issue","address issue",IF(OR(F384="Delivered",F384="Returned to sender",G384=""),"",IF(AND(Rules!$B$3&lt;&gt;"",F384="Held at customs",H384&gt;=Rules!$B$3),"customs &gt;= "&amp;Rules!$B$3&amp;" days",IF(H384&gt;=Rules!$B$2,"idle &gt;= "&amp;Rules!$B$2&amp;" days",""))))</f>
        <v/>
      </c>
      <c r="J384" s="5">
        <f>IF(I384="","",IF(F384="Address issue",0,COUNTIF($I$2:$I$1001,"address issue"))+COUNTIFS($I$2:$I$1001,"?*",$F$2:$F$1001,IF(F384="Address issue","Address issue","&lt;&gt;Address issue"),$H$2:$H$1001,"&gt;"&amp;H384)+1)</f>
        <v/>
      </c>
    </row>
    <row r="385">
      <c r="A385" s="11" t="n">
        <v>100384</v>
      </c>
      <c r="B385" s="11" t="inlineStr">
        <is>
          <t>Мексика</t>
        </is>
      </c>
      <c r="C385" s="11" t="inlineStr">
        <is>
          <t>AndesCargo</t>
        </is>
      </c>
      <c r="D385" s="11" t="inlineStr">
        <is>
          <t>AC36964826</t>
        </is>
      </c>
      <c r="E385" s="12" t="n">
        <v>46282</v>
      </c>
      <c r="F385" s="11" t="inlineStr">
        <is>
          <t>Delivered</t>
        </is>
      </c>
      <c r="G385" s="12" t="n">
        <v>46291</v>
      </c>
      <c r="H385" s="5">
        <f>IF(G385="","",Rules!$B$1-G385)</f>
        <v/>
      </c>
      <c r="I385" s="5">
        <f>IF(F385="Address issue","address issue",IF(OR(F385="Delivered",F385="Returned to sender",G385=""),"",IF(AND(Rules!$B$3&lt;&gt;"",F385="Held at customs",H385&gt;=Rules!$B$3),"customs &gt;= "&amp;Rules!$B$3&amp;" days",IF(H385&gt;=Rules!$B$2,"idle &gt;= "&amp;Rules!$B$2&amp;" days",""))))</f>
        <v/>
      </c>
      <c r="J385" s="5">
        <f>IF(I385="","",IF(F385="Address issue",0,COUNTIF($I$2:$I$1001,"address issue"))+COUNTIFS($I$2:$I$1001,"?*",$F$2:$F$1001,IF(F385="Address issue","Address issue","&lt;&gt;Address issue"),$H$2:$H$1001,"&gt;"&amp;H385)+1)</f>
        <v/>
      </c>
    </row>
    <row r="386">
      <c r="A386" s="11" t="n">
        <v>100385</v>
      </c>
      <c r="B386" s="11" t="inlineStr">
        <is>
          <t>Бразилія</t>
        </is>
      </c>
      <c r="C386" s="11" t="inlineStr">
        <is>
          <t>SwiftParcel</t>
        </is>
      </c>
      <c r="D386" s="11" t="inlineStr">
        <is>
          <t>SP2945168</t>
        </is>
      </c>
      <c r="E386" s="12" t="n">
        <v>46293</v>
      </c>
      <c r="F386" s="11" t="inlineStr">
        <is>
          <t>Delivered</t>
        </is>
      </c>
      <c r="G386" s="12" t="n">
        <v>46303</v>
      </c>
      <c r="H386" s="5">
        <f>IF(G386="","",Rules!$B$1-G386)</f>
        <v/>
      </c>
      <c r="I386" s="5">
        <f>IF(F386="Address issue","address issue",IF(OR(F386="Delivered",F386="Returned to sender",G386=""),"",IF(AND(Rules!$B$3&lt;&gt;"",F386="Held at customs",H386&gt;=Rules!$B$3),"customs &gt;= "&amp;Rules!$B$3&amp;" days",IF(H386&gt;=Rules!$B$2,"idle &gt;= "&amp;Rules!$B$2&amp;" days",""))))</f>
        <v/>
      </c>
      <c r="J386" s="5">
        <f>IF(I386="","",IF(F386="Address issue",0,COUNTIF($I$2:$I$1001,"address issue"))+COUNTIFS($I$2:$I$1001,"?*",$F$2:$F$1001,IF(F386="Address issue","Address issue","&lt;&gt;Address issue"),$H$2:$H$1001,"&gt;"&amp;H386)+1)</f>
        <v/>
      </c>
    </row>
    <row r="387">
      <c r="A387" s="11" t="n">
        <v>100386</v>
      </c>
      <c r="B387" s="11" t="inlineStr">
        <is>
          <t>Бразилія</t>
        </is>
      </c>
      <c r="C387" s="11" t="inlineStr">
        <is>
          <t>SwiftParcel</t>
        </is>
      </c>
      <c r="D387" s="11" t="inlineStr">
        <is>
          <t>SP8267960</t>
        </is>
      </c>
      <c r="E387" s="12" t="n">
        <v>46278</v>
      </c>
      <c r="F387" s="11" t="inlineStr">
        <is>
          <t>Delivered</t>
        </is>
      </c>
      <c r="G387" s="12" t="n">
        <v>46290</v>
      </c>
      <c r="H387" s="5">
        <f>IF(G387="","",Rules!$B$1-G387)</f>
        <v/>
      </c>
      <c r="I387" s="5">
        <f>IF(F387="Address issue","address issue",IF(OR(F387="Delivered",F387="Returned to sender",G387=""),"",IF(AND(Rules!$B$3&lt;&gt;"",F387="Held at customs",H387&gt;=Rules!$B$3),"customs &gt;= "&amp;Rules!$B$3&amp;" days",IF(H387&gt;=Rules!$B$2,"idle &gt;= "&amp;Rules!$B$2&amp;" days",""))))</f>
        <v/>
      </c>
      <c r="J387" s="5">
        <f>IF(I387="","",IF(F387="Address issue",0,COUNTIF($I$2:$I$1001,"address issue"))+COUNTIFS($I$2:$I$1001,"?*",$F$2:$F$1001,IF(F387="Address issue","Address issue","&lt;&gt;Address issue"),$H$2:$H$1001,"&gt;"&amp;H387)+1)</f>
        <v/>
      </c>
    </row>
    <row r="388">
      <c r="A388" s="11" t="n">
        <v>100387</v>
      </c>
      <c r="B388" s="11" t="inlineStr">
        <is>
          <t>Бразилія</t>
        </is>
      </c>
      <c r="C388" s="11" t="inlineStr">
        <is>
          <t>SwiftParcel</t>
        </is>
      </c>
      <c r="D388" s="11" t="inlineStr">
        <is>
          <t>SP7698998</t>
        </is>
      </c>
      <c r="E388" s="13" t="n">
        <v>46310</v>
      </c>
      <c r="F388" s="11" t="inlineStr">
        <is>
          <t>Label created</t>
        </is>
      </c>
      <c r="G388" s="13" t="n">
        <v>46310</v>
      </c>
      <c r="H388" s="5">
        <f>IF(G388="","",Rules!$B$1-G388)</f>
        <v/>
      </c>
      <c r="I388" s="5">
        <f>IF(F388="Address issue","address issue",IF(OR(F388="Delivered",F388="Returned to sender",G388=""),"",IF(AND(Rules!$B$3&lt;&gt;"",F388="Held at customs",H388&gt;=Rules!$B$3),"customs &gt;= "&amp;Rules!$B$3&amp;" days",IF(H388&gt;=Rules!$B$2,"idle &gt;= "&amp;Rules!$B$2&amp;" days",""))))</f>
        <v/>
      </c>
      <c r="J388" s="5">
        <f>IF(I388="","",IF(F388="Address issue",0,COUNTIF($I$2:$I$1001,"address issue"))+COUNTIFS($I$2:$I$1001,"?*",$F$2:$F$1001,IF(F388="Address issue","Address issue","&lt;&gt;Address issue"),$H$2:$H$1001,"&gt;"&amp;H388)+1)</f>
        <v/>
      </c>
    </row>
    <row r="389">
      <c r="A389" s="11" t="n">
        <v>100388</v>
      </c>
      <c r="B389" s="11" t="inlineStr">
        <is>
          <t>Канада</t>
        </is>
      </c>
      <c r="C389" s="11" t="inlineStr">
        <is>
          <t>PostLink</t>
        </is>
      </c>
      <c r="D389" s="11" t="inlineStr">
        <is>
          <t>PL49255911</t>
        </is>
      </c>
      <c r="E389" s="12" t="n">
        <v>46303</v>
      </c>
      <c r="F389" s="11" t="inlineStr">
        <is>
          <t>Delivered</t>
        </is>
      </c>
      <c r="G389" s="13" t="n">
        <v>46306</v>
      </c>
      <c r="H389" s="5">
        <f>IF(G389="","",Rules!$B$1-G389)</f>
        <v/>
      </c>
      <c r="I389" s="5">
        <f>IF(F389="Address issue","address issue",IF(OR(F389="Delivered",F389="Returned to sender",G389=""),"",IF(AND(Rules!$B$3&lt;&gt;"",F389="Held at customs",H389&gt;=Rules!$B$3),"customs &gt;= "&amp;Rules!$B$3&amp;" days",IF(H389&gt;=Rules!$B$2,"idle &gt;= "&amp;Rules!$B$2&amp;" days",""))))</f>
        <v/>
      </c>
      <c r="J389" s="5">
        <f>IF(I389="","",IF(F389="Address issue",0,COUNTIF($I$2:$I$1001,"address issue"))+COUNTIFS($I$2:$I$1001,"?*",$F$2:$F$1001,IF(F389="Address issue","Address issue","&lt;&gt;Address issue"),$H$2:$H$1001,"&gt;"&amp;H389)+1)</f>
        <v/>
      </c>
    </row>
    <row r="390">
      <c r="A390" s="11" t="n">
        <v>100389</v>
      </c>
      <c r="B390" s="11" t="inlineStr">
        <is>
          <t>Канада</t>
        </is>
      </c>
      <c r="C390" s="11" t="inlineStr">
        <is>
          <t>PostLink</t>
        </is>
      </c>
      <c r="D390" s="11" t="inlineStr">
        <is>
          <t>PL90290971</t>
        </is>
      </c>
      <c r="E390" s="12" t="n">
        <v>46301</v>
      </c>
      <c r="F390" s="11" t="inlineStr">
        <is>
          <t>Delivered</t>
        </is>
      </c>
      <c r="G390" s="13" t="n">
        <v>46307</v>
      </c>
      <c r="H390" s="5">
        <f>IF(G390="","",Rules!$B$1-G390)</f>
        <v/>
      </c>
      <c r="I390" s="5">
        <f>IF(F390="Address issue","address issue",IF(OR(F390="Delivered",F390="Returned to sender",G390=""),"",IF(AND(Rules!$B$3&lt;&gt;"",F390="Held at customs",H390&gt;=Rules!$B$3),"customs &gt;= "&amp;Rules!$B$3&amp;" days",IF(H390&gt;=Rules!$B$2,"idle &gt;= "&amp;Rules!$B$2&amp;" days",""))))</f>
        <v/>
      </c>
      <c r="J390" s="5">
        <f>IF(I390="","",IF(F390="Address issue",0,COUNTIF($I$2:$I$1001,"address issue"))+COUNTIFS($I$2:$I$1001,"?*",$F$2:$F$1001,IF(F390="Address issue","Address issue","&lt;&gt;Address issue"),$H$2:$H$1001,"&gt;"&amp;H390)+1)</f>
        <v/>
      </c>
    </row>
    <row r="391">
      <c r="A391" s="11" t="n">
        <v>100390</v>
      </c>
      <c r="B391" s="11" t="inlineStr">
        <is>
          <t>Мексика</t>
        </is>
      </c>
      <c r="C391" s="11" t="inlineStr">
        <is>
          <t>AndesCargo</t>
        </is>
      </c>
      <c r="D391" s="11" t="inlineStr">
        <is>
          <t>AC53732124</t>
        </is>
      </c>
      <c r="E391" s="12" t="n">
        <v>46302</v>
      </c>
      <c r="F391" s="11" t="inlineStr">
        <is>
          <t>In transit</t>
        </is>
      </c>
      <c r="G391" s="12" t="n">
        <v>46304</v>
      </c>
      <c r="H391" s="5">
        <f>IF(G391="","",Rules!$B$1-G391)</f>
        <v/>
      </c>
      <c r="I391" s="5">
        <f>IF(F391="Address issue","address issue",IF(OR(F391="Delivered",F391="Returned to sender",G391=""),"",IF(AND(Rules!$B$3&lt;&gt;"",F391="Held at customs",H391&gt;=Rules!$B$3),"customs &gt;= "&amp;Rules!$B$3&amp;" days",IF(H391&gt;=Rules!$B$2,"idle &gt;= "&amp;Rules!$B$2&amp;" days",""))))</f>
        <v/>
      </c>
      <c r="J391" s="5">
        <f>IF(I391="","",IF(F391="Address issue",0,COUNTIF($I$2:$I$1001,"address issue"))+COUNTIFS($I$2:$I$1001,"?*",$F$2:$F$1001,IF(F391="Address issue","Address issue","&lt;&gt;Address issue"),$H$2:$H$1001,"&gt;"&amp;H391)+1)</f>
        <v/>
      </c>
    </row>
    <row r="392">
      <c r="A392" s="11" t="n">
        <v>100391</v>
      </c>
      <c r="B392" s="11" t="inlineStr">
        <is>
          <t>Мексика</t>
        </is>
      </c>
      <c r="C392" s="11" t="inlineStr">
        <is>
          <t>AndesCargo</t>
        </is>
      </c>
      <c r="D392" s="11" t="inlineStr">
        <is>
          <t>AC44855569</t>
        </is>
      </c>
      <c r="E392" s="12" t="n">
        <v>46277</v>
      </c>
      <c r="F392" s="11" t="inlineStr">
        <is>
          <t>Delivered</t>
        </is>
      </c>
      <c r="G392" s="12" t="n">
        <v>46288</v>
      </c>
      <c r="H392" s="5">
        <f>IF(G392="","",Rules!$B$1-G392)</f>
        <v/>
      </c>
      <c r="I392" s="5">
        <f>IF(F392="Address issue","address issue",IF(OR(F392="Delivered",F392="Returned to sender",G392=""),"",IF(AND(Rules!$B$3&lt;&gt;"",F392="Held at customs",H392&gt;=Rules!$B$3),"customs &gt;= "&amp;Rules!$B$3&amp;" days",IF(H392&gt;=Rules!$B$2,"idle &gt;= "&amp;Rules!$B$2&amp;" days",""))))</f>
        <v/>
      </c>
      <c r="J392" s="5">
        <f>IF(I392="","",IF(F392="Address issue",0,COUNTIF($I$2:$I$1001,"address issue"))+COUNTIFS($I$2:$I$1001,"?*",$F$2:$F$1001,IF(F392="Address issue","Address issue","&lt;&gt;Address issue"),$H$2:$H$1001,"&gt;"&amp;H392)+1)</f>
        <v/>
      </c>
    </row>
    <row r="393">
      <c r="A393" s="11" t="n">
        <v>100392</v>
      </c>
      <c r="B393" s="11" t="inlineStr">
        <is>
          <t>Бразилія</t>
        </is>
      </c>
      <c r="C393" s="11" t="inlineStr">
        <is>
          <t>AndesCargo</t>
        </is>
      </c>
      <c r="D393" s="11" t="inlineStr">
        <is>
          <t>AC59761702</t>
        </is>
      </c>
      <c r="E393" s="13" t="n">
        <v>46307</v>
      </c>
      <c r="F393" s="11" t="inlineStr">
        <is>
          <t>Held at customs</t>
        </is>
      </c>
      <c r="G393" s="13" t="n">
        <v>46309</v>
      </c>
      <c r="H393" s="5">
        <f>IF(G393="","",Rules!$B$1-G393)</f>
        <v/>
      </c>
      <c r="I393" s="5">
        <f>IF(F393="Address issue","address issue",IF(OR(F393="Delivered",F393="Returned to sender",G393=""),"",IF(AND(Rules!$B$3&lt;&gt;"",F393="Held at customs",H393&gt;=Rules!$B$3),"customs &gt;= "&amp;Rules!$B$3&amp;" days",IF(H393&gt;=Rules!$B$2,"idle &gt;= "&amp;Rules!$B$2&amp;" days",""))))</f>
        <v/>
      </c>
      <c r="J393" s="5">
        <f>IF(I393="","",IF(F393="Address issue",0,COUNTIF($I$2:$I$1001,"address issue"))+COUNTIFS($I$2:$I$1001,"?*",$F$2:$F$1001,IF(F393="Address issue","Address issue","&lt;&gt;Address issue"),$H$2:$H$1001,"&gt;"&amp;H393)+1)</f>
        <v/>
      </c>
    </row>
    <row r="394">
      <c r="A394" s="11" t="n">
        <v>100393</v>
      </c>
      <c r="B394" s="11" t="inlineStr">
        <is>
          <t>Мексика</t>
        </is>
      </c>
      <c r="C394" s="11" t="inlineStr">
        <is>
          <t>AndesCargo</t>
        </is>
      </c>
      <c r="D394" s="11" t="inlineStr">
        <is>
          <t>AC64538182</t>
        </is>
      </c>
      <c r="E394" s="12" t="n">
        <v>46302</v>
      </c>
      <c r="F394" s="11" t="inlineStr">
        <is>
          <t>In transit</t>
        </is>
      </c>
      <c r="G394" s="12" t="n">
        <v>46304</v>
      </c>
      <c r="H394" s="5">
        <f>IF(G394="","",Rules!$B$1-G394)</f>
        <v/>
      </c>
      <c r="I394" s="5">
        <f>IF(F394="Address issue","address issue",IF(OR(F394="Delivered",F394="Returned to sender",G394=""),"",IF(AND(Rules!$B$3&lt;&gt;"",F394="Held at customs",H394&gt;=Rules!$B$3),"customs &gt;= "&amp;Rules!$B$3&amp;" days",IF(H394&gt;=Rules!$B$2,"idle &gt;= "&amp;Rules!$B$2&amp;" days",""))))</f>
        <v/>
      </c>
      <c r="J394" s="5">
        <f>IF(I394="","",IF(F394="Address issue",0,COUNTIF($I$2:$I$1001,"address issue"))+COUNTIFS($I$2:$I$1001,"?*",$F$2:$F$1001,IF(F394="Address issue","Address issue","&lt;&gt;Address issue"),$H$2:$H$1001,"&gt;"&amp;H394)+1)</f>
        <v/>
      </c>
    </row>
    <row r="395">
      <c r="A395" s="11" t="n">
        <v>100394</v>
      </c>
      <c r="B395" s="11" t="inlineStr">
        <is>
          <t>Мексика</t>
        </is>
      </c>
      <c r="C395" s="11" t="inlineStr">
        <is>
          <t>AndesCargo</t>
        </is>
      </c>
      <c r="D395" s="11" t="inlineStr">
        <is>
          <t>AC27441093</t>
        </is>
      </c>
      <c r="E395" s="12" t="n">
        <v>46283</v>
      </c>
      <c r="F395" s="11" t="inlineStr">
        <is>
          <t>Delivered</t>
        </is>
      </c>
      <c r="G395" s="12" t="n">
        <v>46295</v>
      </c>
      <c r="H395" s="5">
        <f>IF(G395="","",Rules!$B$1-G395)</f>
        <v/>
      </c>
      <c r="I395" s="5">
        <f>IF(F395="Address issue","address issue",IF(OR(F395="Delivered",F395="Returned to sender",G395=""),"",IF(AND(Rules!$B$3&lt;&gt;"",F395="Held at customs",H395&gt;=Rules!$B$3),"customs &gt;= "&amp;Rules!$B$3&amp;" days",IF(H395&gt;=Rules!$B$2,"idle &gt;= "&amp;Rules!$B$2&amp;" days",""))))</f>
        <v/>
      </c>
      <c r="J395" s="5">
        <f>IF(I395="","",IF(F395="Address issue",0,COUNTIF($I$2:$I$1001,"address issue"))+COUNTIFS($I$2:$I$1001,"?*",$F$2:$F$1001,IF(F395="Address issue","Address issue","&lt;&gt;Address issue"),$H$2:$H$1001,"&gt;"&amp;H395)+1)</f>
        <v/>
      </c>
    </row>
    <row r="396">
      <c r="A396" s="11" t="n">
        <v>100395</v>
      </c>
      <c r="B396" s="11" t="inlineStr">
        <is>
          <t>Мексика</t>
        </is>
      </c>
      <c r="C396" s="11" t="inlineStr">
        <is>
          <t>AndesCargo</t>
        </is>
      </c>
      <c r="D396" s="11" t="inlineStr">
        <is>
          <t>AC78369195</t>
        </is>
      </c>
      <c r="E396" s="12" t="n">
        <v>46300</v>
      </c>
      <c r="F396" s="11" t="inlineStr">
        <is>
          <t>In transit</t>
        </is>
      </c>
      <c r="G396" s="12" t="n">
        <v>46304</v>
      </c>
      <c r="H396" s="5">
        <f>IF(G396="","",Rules!$B$1-G396)</f>
        <v/>
      </c>
      <c r="I396" s="5">
        <f>IF(F396="Address issue","address issue",IF(OR(F396="Delivered",F396="Returned to sender",G396=""),"",IF(AND(Rules!$B$3&lt;&gt;"",F396="Held at customs",H396&gt;=Rules!$B$3),"customs &gt;= "&amp;Rules!$B$3&amp;" days",IF(H396&gt;=Rules!$B$2,"idle &gt;= "&amp;Rules!$B$2&amp;" days",""))))</f>
        <v/>
      </c>
      <c r="J396" s="5">
        <f>IF(I396="","",IF(F396="Address issue",0,COUNTIF($I$2:$I$1001,"address issue"))+COUNTIFS($I$2:$I$1001,"?*",$F$2:$F$1001,IF(F396="Address issue","Address issue","&lt;&gt;Address issue"),$H$2:$H$1001,"&gt;"&amp;H396)+1)</f>
        <v/>
      </c>
    </row>
    <row r="397">
      <c r="A397" s="11" t="n">
        <v>100396</v>
      </c>
      <c r="B397" s="11" t="inlineStr">
        <is>
          <t>Канада</t>
        </is>
      </c>
      <c r="C397" s="11" t="inlineStr">
        <is>
          <t>PostLink</t>
        </is>
      </c>
      <c r="D397" s="11" t="inlineStr">
        <is>
          <t>PL15324428</t>
        </is>
      </c>
      <c r="E397" s="13" t="n">
        <v>46306</v>
      </c>
      <c r="F397" s="11" t="inlineStr">
        <is>
          <t>In transit</t>
        </is>
      </c>
      <c r="G397" s="13" t="n">
        <v>46310</v>
      </c>
      <c r="H397" s="5">
        <f>IF(G397="","",Rules!$B$1-G397)</f>
        <v/>
      </c>
      <c r="I397" s="5">
        <f>IF(F397="Address issue","address issue",IF(OR(F397="Delivered",F397="Returned to sender",G397=""),"",IF(AND(Rules!$B$3&lt;&gt;"",F397="Held at customs",H397&gt;=Rules!$B$3),"customs &gt;= "&amp;Rules!$B$3&amp;" days",IF(H397&gt;=Rules!$B$2,"idle &gt;= "&amp;Rules!$B$2&amp;" days",""))))</f>
        <v/>
      </c>
      <c r="J397" s="5">
        <f>IF(I397="","",IF(F397="Address issue",0,COUNTIF($I$2:$I$1001,"address issue"))+COUNTIFS($I$2:$I$1001,"?*",$F$2:$F$1001,IF(F397="Address issue","Address issue","&lt;&gt;Address issue"),$H$2:$H$1001,"&gt;"&amp;H397)+1)</f>
        <v/>
      </c>
    </row>
    <row r="398">
      <c r="A398" s="11" t="n">
        <v>100397</v>
      </c>
      <c r="B398" s="11" t="inlineStr">
        <is>
          <t>Бразилія</t>
        </is>
      </c>
      <c r="C398" s="11" t="inlineStr">
        <is>
          <t>AndesCargo</t>
        </is>
      </c>
      <c r="D398" s="11" t="inlineStr">
        <is>
          <t>AC56655734</t>
        </is>
      </c>
      <c r="E398" s="12" t="n">
        <v>46288</v>
      </c>
      <c r="F398" s="11" t="inlineStr">
        <is>
          <t>Delivered</t>
        </is>
      </c>
      <c r="G398" s="12" t="n">
        <v>46291</v>
      </c>
      <c r="H398" s="5">
        <f>IF(G398="","",Rules!$B$1-G398)</f>
        <v/>
      </c>
      <c r="I398" s="5">
        <f>IF(F398="Address issue","address issue",IF(OR(F398="Delivered",F398="Returned to sender",G398=""),"",IF(AND(Rules!$B$3&lt;&gt;"",F398="Held at customs",H398&gt;=Rules!$B$3),"customs &gt;= "&amp;Rules!$B$3&amp;" days",IF(H398&gt;=Rules!$B$2,"idle &gt;= "&amp;Rules!$B$2&amp;" days",""))))</f>
        <v/>
      </c>
      <c r="J398" s="5">
        <f>IF(I398="","",IF(F398="Address issue",0,COUNTIF($I$2:$I$1001,"address issue"))+COUNTIFS($I$2:$I$1001,"?*",$F$2:$F$1001,IF(F398="Address issue","Address issue","&lt;&gt;Address issue"),$H$2:$H$1001,"&gt;"&amp;H398)+1)</f>
        <v/>
      </c>
    </row>
    <row r="399">
      <c r="A399" s="11" t="n">
        <v>100398</v>
      </c>
      <c r="B399" s="11" t="inlineStr">
        <is>
          <t>Мексика</t>
        </is>
      </c>
      <c r="C399" s="11" t="inlineStr">
        <is>
          <t>SwiftParcel</t>
        </is>
      </c>
      <c r="D399" s="11" t="inlineStr">
        <is>
          <t>SP6145639</t>
        </is>
      </c>
      <c r="E399" s="12" t="n">
        <v>46281</v>
      </c>
      <c r="F399" s="11" t="inlineStr">
        <is>
          <t>Delivered</t>
        </is>
      </c>
      <c r="G399" s="12" t="n">
        <v>46284</v>
      </c>
      <c r="H399" s="5">
        <f>IF(G399="","",Rules!$B$1-G399)</f>
        <v/>
      </c>
      <c r="I399" s="5">
        <f>IF(F399="Address issue","address issue",IF(OR(F399="Delivered",F399="Returned to sender",G399=""),"",IF(AND(Rules!$B$3&lt;&gt;"",F399="Held at customs",H399&gt;=Rules!$B$3),"customs &gt;= "&amp;Rules!$B$3&amp;" days",IF(H399&gt;=Rules!$B$2,"idle &gt;= "&amp;Rules!$B$2&amp;" days",""))))</f>
        <v/>
      </c>
      <c r="J399" s="5">
        <f>IF(I399="","",IF(F399="Address issue",0,COUNTIF($I$2:$I$1001,"address issue"))+COUNTIFS($I$2:$I$1001,"?*",$F$2:$F$1001,IF(F399="Address issue","Address issue","&lt;&gt;Address issue"),$H$2:$H$1001,"&gt;"&amp;H399)+1)</f>
        <v/>
      </c>
    </row>
    <row r="400">
      <c r="A400" s="11" t="n">
        <v>100399</v>
      </c>
      <c r="B400" s="11" t="inlineStr">
        <is>
          <t>Бразилія</t>
        </is>
      </c>
      <c r="C400" s="11" t="inlineStr">
        <is>
          <t>SwiftParcel</t>
        </is>
      </c>
      <c r="D400" s="11" t="inlineStr">
        <is>
          <t>SP6999089</t>
        </is>
      </c>
      <c r="E400" s="12" t="n">
        <v>46283</v>
      </c>
      <c r="F400" s="11" t="inlineStr">
        <is>
          <t>Delivered</t>
        </is>
      </c>
      <c r="G400" s="12" t="n">
        <v>46295</v>
      </c>
      <c r="H400" s="5">
        <f>IF(G400="","",Rules!$B$1-G400)</f>
        <v/>
      </c>
      <c r="I400" s="5">
        <f>IF(F400="Address issue","address issue",IF(OR(F400="Delivered",F400="Returned to sender",G400=""),"",IF(AND(Rules!$B$3&lt;&gt;"",F400="Held at customs",H400&gt;=Rules!$B$3),"customs &gt;= "&amp;Rules!$B$3&amp;" days",IF(H400&gt;=Rules!$B$2,"idle &gt;= "&amp;Rules!$B$2&amp;" days",""))))</f>
        <v/>
      </c>
      <c r="J400" s="5">
        <f>IF(I400="","",IF(F400="Address issue",0,COUNTIF($I$2:$I$1001,"address issue"))+COUNTIFS($I$2:$I$1001,"?*",$F$2:$F$1001,IF(F400="Address issue","Address issue","&lt;&gt;Address issue"),$H$2:$H$1001,"&gt;"&amp;H400)+1)</f>
        <v/>
      </c>
    </row>
    <row r="401">
      <c r="A401" s="11" t="n">
        <v>100400</v>
      </c>
      <c r="B401" s="11" t="inlineStr">
        <is>
          <t>Мексика</t>
        </is>
      </c>
      <c r="C401" s="11" t="inlineStr">
        <is>
          <t>SwiftParcel</t>
        </is>
      </c>
      <c r="D401" s="11" t="inlineStr">
        <is>
          <t>SP9828697</t>
        </is>
      </c>
      <c r="E401" s="12" t="n">
        <v>46301</v>
      </c>
      <c r="F401" s="11" t="inlineStr">
        <is>
          <t>Held at customs</t>
        </is>
      </c>
      <c r="G401" s="13" t="n">
        <v>46307</v>
      </c>
      <c r="H401" s="5">
        <f>IF(G401="","",Rules!$B$1-G401)</f>
        <v/>
      </c>
      <c r="I401" s="5">
        <f>IF(F401="Address issue","address issue",IF(OR(F401="Delivered",F401="Returned to sender",G401=""),"",IF(AND(Rules!$B$3&lt;&gt;"",F401="Held at customs",H401&gt;=Rules!$B$3),"customs &gt;= "&amp;Rules!$B$3&amp;" days",IF(H401&gt;=Rules!$B$2,"idle &gt;= "&amp;Rules!$B$2&amp;" days",""))))</f>
        <v/>
      </c>
      <c r="J401" s="5">
        <f>IF(I401="","",IF(F401="Address issue",0,COUNTIF($I$2:$I$1001,"address issue"))+COUNTIFS($I$2:$I$1001,"?*",$F$2:$F$1001,IF(F401="Address issue","Address issue","&lt;&gt;Address issue"),$H$2:$H$1001,"&gt;"&amp;H401)+1)</f>
        <v/>
      </c>
    </row>
    <row r="402">
      <c r="A402" s="11" t="n">
        <v>100401</v>
      </c>
      <c r="B402" s="11" t="inlineStr">
        <is>
          <t>Мексика</t>
        </is>
      </c>
      <c r="C402" s="11" t="inlineStr">
        <is>
          <t>AndesCargo</t>
        </is>
      </c>
      <c r="D402" s="11" t="inlineStr">
        <is>
          <t>AC51713259</t>
        </is>
      </c>
      <c r="E402" s="12" t="n">
        <v>46301</v>
      </c>
      <c r="F402" s="11" t="inlineStr">
        <is>
          <t>In transit</t>
        </is>
      </c>
      <c r="G402" s="13" t="n">
        <v>46305</v>
      </c>
      <c r="H402" s="5">
        <f>IF(G402="","",Rules!$B$1-G402)</f>
        <v/>
      </c>
      <c r="I402" s="5">
        <f>IF(F402="Address issue","address issue",IF(OR(F402="Delivered",F402="Returned to sender",G402=""),"",IF(AND(Rules!$B$3&lt;&gt;"",F402="Held at customs",H402&gt;=Rules!$B$3),"customs &gt;= "&amp;Rules!$B$3&amp;" days",IF(H402&gt;=Rules!$B$2,"idle &gt;= "&amp;Rules!$B$2&amp;" days",""))))</f>
        <v/>
      </c>
      <c r="J402" s="5">
        <f>IF(I402="","",IF(F402="Address issue",0,COUNTIF($I$2:$I$1001,"address issue"))+COUNTIFS($I$2:$I$1001,"?*",$F$2:$F$1001,IF(F402="Address issue","Address issue","&lt;&gt;Address issue"),$H$2:$H$1001,"&gt;"&amp;H402)+1)</f>
        <v/>
      </c>
    </row>
    <row r="403">
      <c r="A403" s="11" t="n">
        <v>100402</v>
      </c>
      <c r="B403" s="11" t="inlineStr">
        <is>
          <t>Бразилія</t>
        </is>
      </c>
      <c r="C403" s="11" t="inlineStr">
        <is>
          <t>AndesCargo</t>
        </is>
      </c>
      <c r="D403" s="11" t="inlineStr">
        <is>
          <t>AC50506474</t>
        </is>
      </c>
      <c r="E403" s="12" t="n">
        <v>46285</v>
      </c>
      <c r="F403" s="11" t="inlineStr">
        <is>
          <t>Delivered</t>
        </is>
      </c>
      <c r="G403" s="12" t="n">
        <v>46293</v>
      </c>
      <c r="H403" s="5">
        <f>IF(G403="","",Rules!$B$1-G403)</f>
        <v/>
      </c>
      <c r="I403" s="5">
        <f>IF(F403="Address issue","address issue",IF(OR(F403="Delivered",F403="Returned to sender",G403=""),"",IF(AND(Rules!$B$3&lt;&gt;"",F403="Held at customs",H403&gt;=Rules!$B$3),"customs &gt;= "&amp;Rules!$B$3&amp;" days",IF(H403&gt;=Rules!$B$2,"idle &gt;= "&amp;Rules!$B$2&amp;" days",""))))</f>
        <v/>
      </c>
      <c r="J403" s="5">
        <f>IF(I403="","",IF(F403="Address issue",0,COUNTIF($I$2:$I$1001,"address issue"))+COUNTIFS($I$2:$I$1001,"?*",$F$2:$F$1001,IF(F403="Address issue","Address issue","&lt;&gt;Address issue"),$H$2:$H$1001,"&gt;"&amp;H403)+1)</f>
        <v/>
      </c>
    </row>
    <row r="404">
      <c r="A404" s="11" t="n">
        <v>100403</v>
      </c>
      <c r="B404" s="11" t="inlineStr">
        <is>
          <t>Канада</t>
        </is>
      </c>
      <c r="C404" s="11" t="inlineStr">
        <is>
          <t>PostLink</t>
        </is>
      </c>
      <c r="D404" s="11" t="inlineStr">
        <is>
          <t>PL29804231</t>
        </is>
      </c>
      <c r="E404" s="12" t="n">
        <v>46296</v>
      </c>
      <c r="F404" s="11" t="inlineStr">
        <is>
          <t>Delivered</t>
        </is>
      </c>
      <c r="G404" s="12" t="n">
        <v>46302</v>
      </c>
      <c r="H404" s="5">
        <f>IF(G404="","",Rules!$B$1-G404)</f>
        <v/>
      </c>
      <c r="I404" s="5">
        <f>IF(F404="Address issue","address issue",IF(OR(F404="Delivered",F404="Returned to sender",G404=""),"",IF(AND(Rules!$B$3&lt;&gt;"",F404="Held at customs",H404&gt;=Rules!$B$3),"customs &gt;= "&amp;Rules!$B$3&amp;" days",IF(H404&gt;=Rules!$B$2,"idle &gt;= "&amp;Rules!$B$2&amp;" days",""))))</f>
        <v/>
      </c>
      <c r="J404" s="5">
        <f>IF(I404="","",IF(F404="Address issue",0,COUNTIF($I$2:$I$1001,"address issue"))+COUNTIFS($I$2:$I$1001,"?*",$F$2:$F$1001,IF(F404="Address issue","Address issue","&lt;&gt;Address issue"),$H$2:$H$1001,"&gt;"&amp;H404)+1)</f>
        <v/>
      </c>
    </row>
    <row r="405">
      <c r="A405" s="11" t="n">
        <v>100404</v>
      </c>
      <c r="B405" s="11" t="inlineStr">
        <is>
          <t>Бразилія</t>
        </is>
      </c>
      <c r="C405" s="11" t="inlineStr">
        <is>
          <t>AndesCargo</t>
        </is>
      </c>
      <c r="D405" s="11" t="inlineStr">
        <is>
          <t>AC63513499</t>
        </is>
      </c>
      <c r="E405" s="12" t="n">
        <v>46303</v>
      </c>
      <c r="F405" s="11" t="inlineStr">
        <is>
          <t>Held at customs</t>
        </is>
      </c>
      <c r="G405" s="13" t="n">
        <v>46308</v>
      </c>
      <c r="H405" s="5">
        <f>IF(G405="","",Rules!$B$1-G405)</f>
        <v/>
      </c>
      <c r="I405" s="5">
        <f>IF(F405="Address issue","address issue",IF(OR(F405="Delivered",F405="Returned to sender",G405=""),"",IF(AND(Rules!$B$3&lt;&gt;"",F405="Held at customs",H405&gt;=Rules!$B$3),"customs &gt;= "&amp;Rules!$B$3&amp;" days",IF(H405&gt;=Rules!$B$2,"idle &gt;= "&amp;Rules!$B$2&amp;" days",""))))</f>
        <v/>
      </c>
      <c r="J405" s="5">
        <f>IF(I405="","",IF(F405="Address issue",0,COUNTIF($I$2:$I$1001,"address issue"))+COUNTIFS($I$2:$I$1001,"?*",$F$2:$F$1001,IF(F405="Address issue","Address issue","&lt;&gt;Address issue"),$H$2:$H$1001,"&gt;"&amp;H405)+1)</f>
        <v/>
      </c>
    </row>
    <row r="406">
      <c r="A406" s="11" t="n">
        <v>100405</v>
      </c>
      <c r="B406" s="11" t="inlineStr">
        <is>
          <t>Мексика</t>
        </is>
      </c>
      <c r="C406" s="11" t="inlineStr">
        <is>
          <t>AndesCargo</t>
        </is>
      </c>
      <c r="D406" s="11" t="inlineStr">
        <is>
          <t>AC19934691</t>
        </is>
      </c>
      <c r="E406" s="12" t="n">
        <v>46281</v>
      </c>
      <c r="F406" s="11" t="inlineStr">
        <is>
          <t>Delivered</t>
        </is>
      </c>
      <c r="G406" s="12" t="n">
        <v>46293</v>
      </c>
      <c r="H406" s="5">
        <f>IF(G406="","",Rules!$B$1-G406)</f>
        <v/>
      </c>
      <c r="I406" s="5">
        <f>IF(F406="Address issue","address issue",IF(OR(F406="Delivered",F406="Returned to sender",G406=""),"",IF(AND(Rules!$B$3&lt;&gt;"",F406="Held at customs",H406&gt;=Rules!$B$3),"customs &gt;= "&amp;Rules!$B$3&amp;" days",IF(H406&gt;=Rules!$B$2,"idle &gt;= "&amp;Rules!$B$2&amp;" days",""))))</f>
        <v/>
      </c>
      <c r="J406" s="5">
        <f>IF(I406="","",IF(F406="Address issue",0,COUNTIF($I$2:$I$1001,"address issue"))+COUNTIFS($I$2:$I$1001,"?*",$F$2:$F$1001,IF(F406="Address issue","Address issue","&lt;&gt;Address issue"),$H$2:$H$1001,"&gt;"&amp;H406)+1)</f>
        <v/>
      </c>
    </row>
    <row r="407">
      <c r="A407" s="11" t="n">
        <v>100406</v>
      </c>
      <c r="B407" s="11" t="inlineStr">
        <is>
          <t>Мексика</t>
        </is>
      </c>
      <c r="C407" s="11" t="inlineStr">
        <is>
          <t>AndesCargo</t>
        </is>
      </c>
      <c r="D407" s="11" t="inlineStr">
        <is>
          <t>AC15191731</t>
        </is>
      </c>
      <c r="E407" s="12" t="n">
        <v>46303</v>
      </c>
      <c r="F407" s="11" t="inlineStr">
        <is>
          <t>Held at customs</t>
        </is>
      </c>
      <c r="G407" s="13" t="n">
        <v>46306</v>
      </c>
      <c r="H407" s="5">
        <f>IF(G407="","",Rules!$B$1-G407)</f>
        <v/>
      </c>
      <c r="I407" s="5">
        <f>IF(F407="Address issue","address issue",IF(OR(F407="Delivered",F407="Returned to sender",G407=""),"",IF(AND(Rules!$B$3&lt;&gt;"",F407="Held at customs",H407&gt;=Rules!$B$3),"customs &gt;= "&amp;Rules!$B$3&amp;" days",IF(H407&gt;=Rules!$B$2,"idle &gt;= "&amp;Rules!$B$2&amp;" days",""))))</f>
        <v/>
      </c>
      <c r="J407" s="5">
        <f>IF(I407="","",IF(F407="Address issue",0,COUNTIF($I$2:$I$1001,"address issue"))+COUNTIFS($I$2:$I$1001,"?*",$F$2:$F$1001,IF(F407="Address issue","Address issue","&lt;&gt;Address issue"),$H$2:$H$1001,"&gt;"&amp;H407)+1)</f>
        <v/>
      </c>
    </row>
    <row r="408">
      <c r="A408" s="11" t="n">
        <v>100407</v>
      </c>
      <c r="B408" s="11" t="inlineStr">
        <is>
          <t>Бразилія</t>
        </is>
      </c>
      <c r="C408" s="11" t="inlineStr">
        <is>
          <t>SwiftParcel</t>
        </is>
      </c>
      <c r="D408" s="11" t="inlineStr">
        <is>
          <t>SP4687905</t>
        </is>
      </c>
      <c r="E408" s="12" t="n">
        <v>46300</v>
      </c>
      <c r="F408" s="11" t="inlineStr">
        <is>
          <t>Delivered</t>
        </is>
      </c>
      <c r="G408" s="13" t="n">
        <v>46307</v>
      </c>
      <c r="H408" s="5">
        <f>IF(G408="","",Rules!$B$1-G408)</f>
        <v/>
      </c>
      <c r="I408" s="5">
        <f>IF(F408="Address issue","address issue",IF(OR(F408="Delivered",F408="Returned to sender",G408=""),"",IF(AND(Rules!$B$3&lt;&gt;"",F408="Held at customs",H408&gt;=Rules!$B$3),"customs &gt;= "&amp;Rules!$B$3&amp;" days",IF(H408&gt;=Rules!$B$2,"idle &gt;= "&amp;Rules!$B$2&amp;" days",""))))</f>
        <v/>
      </c>
      <c r="J408" s="5">
        <f>IF(I408="","",IF(F408="Address issue",0,COUNTIF($I$2:$I$1001,"address issue"))+COUNTIFS($I$2:$I$1001,"?*",$F$2:$F$1001,IF(F408="Address issue","Address issue","&lt;&gt;Address issue"),$H$2:$H$1001,"&gt;"&amp;H408)+1)</f>
        <v/>
      </c>
    </row>
    <row r="409">
      <c r="A409" s="11" t="n">
        <v>100408</v>
      </c>
      <c r="B409" s="11" t="inlineStr">
        <is>
          <t>Канада</t>
        </is>
      </c>
      <c r="C409" s="11" t="inlineStr">
        <is>
          <t>PostLink</t>
        </is>
      </c>
      <c r="D409" s="11" t="inlineStr">
        <is>
          <t>PL55163873</t>
        </is>
      </c>
      <c r="E409" s="12" t="n">
        <v>46275</v>
      </c>
      <c r="F409" s="11" t="inlineStr">
        <is>
          <t>Delivered</t>
        </is>
      </c>
      <c r="G409" s="12" t="n">
        <v>46285</v>
      </c>
      <c r="H409" s="5">
        <f>IF(G409="","",Rules!$B$1-G409)</f>
        <v/>
      </c>
      <c r="I409" s="5">
        <f>IF(F409="Address issue","address issue",IF(OR(F409="Delivered",F409="Returned to sender",G409=""),"",IF(AND(Rules!$B$3&lt;&gt;"",F409="Held at customs",H409&gt;=Rules!$B$3),"customs &gt;= "&amp;Rules!$B$3&amp;" days",IF(H409&gt;=Rules!$B$2,"idle &gt;= "&amp;Rules!$B$2&amp;" days",""))))</f>
        <v/>
      </c>
      <c r="J409" s="5">
        <f>IF(I409="","",IF(F409="Address issue",0,COUNTIF($I$2:$I$1001,"address issue"))+COUNTIFS($I$2:$I$1001,"?*",$F$2:$F$1001,IF(F409="Address issue","Address issue","&lt;&gt;Address issue"),$H$2:$H$1001,"&gt;"&amp;H409)+1)</f>
        <v/>
      </c>
    </row>
    <row r="410">
      <c r="A410" s="11" t="n">
        <v>100409</v>
      </c>
      <c r="B410" s="11" t="inlineStr">
        <is>
          <t>Бразилія</t>
        </is>
      </c>
      <c r="C410" s="11" t="inlineStr">
        <is>
          <t>SwiftParcel</t>
        </is>
      </c>
      <c r="D410" s="11" t="inlineStr">
        <is>
          <t>SP9784199</t>
        </is>
      </c>
      <c r="E410" s="12" t="n">
        <v>46299</v>
      </c>
      <c r="F410" s="11" t="inlineStr">
        <is>
          <t>Delivered</t>
        </is>
      </c>
      <c r="G410" s="12" t="n">
        <v>46303</v>
      </c>
      <c r="H410" s="5">
        <f>IF(G410="","",Rules!$B$1-G410)</f>
        <v/>
      </c>
      <c r="I410" s="5">
        <f>IF(F410="Address issue","address issue",IF(OR(F410="Delivered",F410="Returned to sender",G410=""),"",IF(AND(Rules!$B$3&lt;&gt;"",F410="Held at customs",H410&gt;=Rules!$B$3),"customs &gt;= "&amp;Rules!$B$3&amp;" days",IF(H410&gt;=Rules!$B$2,"idle &gt;= "&amp;Rules!$B$2&amp;" days",""))))</f>
        <v/>
      </c>
      <c r="J410" s="5">
        <f>IF(I410="","",IF(F410="Address issue",0,COUNTIF($I$2:$I$1001,"address issue"))+COUNTIFS($I$2:$I$1001,"?*",$F$2:$F$1001,IF(F410="Address issue","Address issue","&lt;&gt;Address issue"),$H$2:$H$1001,"&gt;"&amp;H410)+1)</f>
        <v/>
      </c>
    </row>
    <row r="411">
      <c r="A411" s="11" t="n">
        <v>100410</v>
      </c>
      <c r="B411" s="11" t="inlineStr">
        <is>
          <t>Мексика</t>
        </is>
      </c>
      <c r="C411" s="11" t="inlineStr">
        <is>
          <t>AndesCargo</t>
        </is>
      </c>
      <c r="D411" s="11" t="inlineStr">
        <is>
          <t>AC71493337</t>
        </is>
      </c>
      <c r="E411" s="12" t="n">
        <v>46303</v>
      </c>
      <c r="F411" s="11" t="inlineStr">
        <is>
          <t>Out for delivery</t>
        </is>
      </c>
      <c r="G411" s="13" t="n">
        <v>46306</v>
      </c>
      <c r="H411" s="5">
        <f>IF(G411="","",Rules!$B$1-G411)</f>
        <v/>
      </c>
      <c r="I411" s="5">
        <f>IF(F411="Address issue","address issue",IF(OR(F411="Delivered",F411="Returned to sender",G411=""),"",IF(AND(Rules!$B$3&lt;&gt;"",F411="Held at customs",H411&gt;=Rules!$B$3),"customs &gt;= "&amp;Rules!$B$3&amp;" days",IF(H411&gt;=Rules!$B$2,"idle &gt;= "&amp;Rules!$B$2&amp;" days",""))))</f>
        <v/>
      </c>
      <c r="J411" s="5">
        <f>IF(I411="","",IF(F411="Address issue",0,COUNTIF($I$2:$I$1001,"address issue"))+COUNTIFS($I$2:$I$1001,"?*",$F$2:$F$1001,IF(F411="Address issue","Address issue","&lt;&gt;Address issue"),$H$2:$H$1001,"&gt;"&amp;H411)+1)</f>
        <v/>
      </c>
    </row>
    <row r="412">
      <c r="A412" s="11" t="n">
        <v>100411</v>
      </c>
      <c r="B412" s="11" t="inlineStr">
        <is>
          <t>Канада</t>
        </is>
      </c>
      <c r="C412" s="11" t="inlineStr">
        <is>
          <t>PostLink</t>
        </is>
      </c>
      <c r="D412" s="11" t="inlineStr">
        <is>
          <t>PL51310975</t>
        </is>
      </c>
      <c r="E412" s="12" t="n">
        <v>46304</v>
      </c>
      <c r="F412" s="11" t="inlineStr">
        <is>
          <t>Delivered</t>
        </is>
      </c>
      <c r="G412" s="13" t="n">
        <v>46310</v>
      </c>
      <c r="H412" s="5">
        <f>IF(G412="","",Rules!$B$1-G412)</f>
        <v/>
      </c>
      <c r="I412" s="5">
        <f>IF(F412="Address issue","address issue",IF(OR(F412="Delivered",F412="Returned to sender",G412=""),"",IF(AND(Rules!$B$3&lt;&gt;"",F412="Held at customs",H412&gt;=Rules!$B$3),"customs &gt;= "&amp;Rules!$B$3&amp;" days",IF(H412&gt;=Rules!$B$2,"idle &gt;= "&amp;Rules!$B$2&amp;" days",""))))</f>
        <v/>
      </c>
      <c r="J412" s="5">
        <f>IF(I412="","",IF(F412="Address issue",0,COUNTIF($I$2:$I$1001,"address issue"))+COUNTIFS($I$2:$I$1001,"?*",$F$2:$F$1001,IF(F412="Address issue","Address issue","&lt;&gt;Address issue"),$H$2:$H$1001,"&gt;"&amp;H412)+1)</f>
        <v/>
      </c>
    </row>
    <row r="413">
      <c r="A413" s="11" t="n">
        <v>100412</v>
      </c>
      <c r="B413" s="11" t="inlineStr">
        <is>
          <t>Бразилія</t>
        </is>
      </c>
      <c r="C413" s="11" t="inlineStr">
        <is>
          <t>SwiftParcel</t>
        </is>
      </c>
      <c r="D413" s="11" t="inlineStr">
        <is>
          <t>SP5457180</t>
        </is>
      </c>
      <c r="E413" s="12" t="n">
        <v>46302</v>
      </c>
      <c r="F413" s="11" t="inlineStr">
        <is>
          <t>In transit</t>
        </is>
      </c>
      <c r="G413" s="13" t="n">
        <v>46308</v>
      </c>
      <c r="H413" s="5">
        <f>IF(G413="","",Rules!$B$1-G413)</f>
        <v/>
      </c>
      <c r="I413" s="5">
        <f>IF(F413="Address issue","address issue",IF(OR(F413="Delivered",F413="Returned to sender",G413=""),"",IF(AND(Rules!$B$3&lt;&gt;"",F413="Held at customs",H413&gt;=Rules!$B$3),"customs &gt;= "&amp;Rules!$B$3&amp;" days",IF(H413&gt;=Rules!$B$2,"idle &gt;= "&amp;Rules!$B$2&amp;" days",""))))</f>
        <v/>
      </c>
      <c r="J413" s="5">
        <f>IF(I413="","",IF(F413="Address issue",0,COUNTIF($I$2:$I$1001,"address issue"))+COUNTIFS($I$2:$I$1001,"?*",$F$2:$F$1001,IF(F413="Address issue","Address issue","&lt;&gt;Address issue"),$H$2:$H$1001,"&gt;"&amp;H413)+1)</f>
        <v/>
      </c>
    </row>
    <row r="414">
      <c r="A414" s="11" t="n">
        <v>100413</v>
      </c>
      <c r="B414" s="11" t="inlineStr">
        <is>
          <t>Мексика</t>
        </is>
      </c>
      <c r="C414" s="11" t="inlineStr">
        <is>
          <t>AndesCargo</t>
        </is>
      </c>
      <c r="D414" s="11" t="inlineStr">
        <is>
          <t>AC15689421</t>
        </is>
      </c>
      <c r="E414" s="12" t="n">
        <v>46300</v>
      </c>
      <c r="F414" s="11" t="inlineStr">
        <is>
          <t>Delivered</t>
        </is>
      </c>
      <c r="G414" s="13" t="n">
        <v>46310</v>
      </c>
      <c r="H414" s="5">
        <f>IF(G414="","",Rules!$B$1-G414)</f>
        <v/>
      </c>
      <c r="I414" s="5">
        <f>IF(F414="Address issue","address issue",IF(OR(F414="Delivered",F414="Returned to sender",G414=""),"",IF(AND(Rules!$B$3&lt;&gt;"",F414="Held at customs",H414&gt;=Rules!$B$3),"customs &gt;= "&amp;Rules!$B$3&amp;" days",IF(H414&gt;=Rules!$B$2,"idle &gt;= "&amp;Rules!$B$2&amp;" days",""))))</f>
        <v/>
      </c>
      <c r="J414" s="5">
        <f>IF(I414="","",IF(F414="Address issue",0,COUNTIF($I$2:$I$1001,"address issue"))+COUNTIFS($I$2:$I$1001,"?*",$F$2:$F$1001,IF(F414="Address issue","Address issue","&lt;&gt;Address issue"),$H$2:$H$1001,"&gt;"&amp;H414)+1)</f>
        <v/>
      </c>
    </row>
    <row r="415">
      <c r="A415" s="11" t="n">
        <v>100414</v>
      </c>
      <c r="B415" s="11" t="inlineStr">
        <is>
          <t>Мексика</t>
        </is>
      </c>
      <c r="C415" s="11" t="inlineStr">
        <is>
          <t>AndesCargo</t>
        </is>
      </c>
      <c r="D415" s="11" t="inlineStr">
        <is>
          <t>AC25344044</t>
        </is>
      </c>
      <c r="E415" s="12" t="n">
        <v>46282</v>
      </c>
      <c r="F415" s="11" t="inlineStr">
        <is>
          <t>Delivered</t>
        </is>
      </c>
      <c r="G415" s="12" t="n">
        <v>46289</v>
      </c>
      <c r="H415" s="5">
        <f>IF(G415="","",Rules!$B$1-G415)</f>
        <v/>
      </c>
      <c r="I415" s="5">
        <f>IF(F415="Address issue","address issue",IF(OR(F415="Delivered",F415="Returned to sender",G415=""),"",IF(AND(Rules!$B$3&lt;&gt;"",F415="Held at customs",H415&gt;=Rules!$B$3),"customs &gt;= "&amp;Rules!$B$3&amp;" days",IF(H415&gt;=Rules!$B$2,"idle &gt;= "&amp;Rules!$B$2&amp;" days",""))))</f>
        <v/>
      </c>
      <c r="J415" s="5">
        <f>IF(I415="","",IF(F415="Address issue",0,COUNTIF($I$2:$I$1001,"address issue"))+COUNTIFS($I$2:$I$1001,"?*",$F$2:$F$1001,IF(F415="Address issue","Address issue","&lt;&gt;Address issue"),$H$2:$H$1001,"&gt;"&amp;H415)+1)</f>
        <v/>
      </c>
    </row>
    <row r="416">
      <c r="A416" s="11" t="n">
        <v>100415</v>
      </c>
      <c r="B416" s="11" t="inlineStr">
        <is>
          <t>Мексика</t>
        </is>
      </c>
      <c r="C416" s="11" t="inlineStr">
        <is>
          <t>AndesCargo</t>
        </is>
      </c>
      <c r="D416" s="11" t="inlineStr">
        <is>
          <t>AC36129086</t>
        </is>
      </c>
      <c r="E416" s="13" t="n">
        <v>46305</v>
      </c>
      <c r="F416" s="11" t="inlineStr">
        <is>
          <t>Held at customs</t>
        </is>
      </c>
      <c r="G416" s="13" t="n">
        <v>46306</v>
      </c>
      <c r="H416" s="5">
        <f>IF(G416="","",Rules!$B$1-G416)</f>
        <v/>
      </c>
      <c r="I416" s="5">
        <f>IF(F416="Address issue","address issue",IF(OR(F416="Delivered",F416="Returned to sender",G416=""),"",IF(AND(Rules!$B$3&lt;&gt;"",F416="Held at customs",H416&gt;=Rules!$B$3),"customs &gt;= "&amp;Rules!$B$3&amp;" days",IF(H416&gt;=Rules!$B$2,"idle &gt;= "&amp;Rules!$B$2&amp;" days",""))))</f>
        <v/>
      </c>
      <c r="J416" s="5">
        <f>IF(I416="","",IF(F416="Address issue",0,COUNTIF($I$2:$I$1001,"address issue"))+COUNTIFS($I$2:$I$1001,"?*",$F$2:$F$1001,IF(F416="Address issue","Address issue","&lt;&gt;Address issue"),$H$2:$H$1001,"&gt;"&amp;H416)+1)</f>
        <v/>
      </c>
    </row>
    <row r="417">
      <c r="A417" s="11" t="n">
        <v>100416</v>
      </c>
      <c r="B417" s="11" t="inlineStr">
        <is>
          <t>Мексика</t>
        </is>
      </c>
      <c r="C417" s="11" t="inlineStr">
        <is>
          <t>AndesCargo</t>
        </is>
      </c>
      <c r="D417" s="11" t="inlineStr">
        <is>
          <t>AC69086158</t>
        </is>
      </c>
      <c r="E417" s="12" t="n">
        <v>46288</v>
      </c>
      <c r="F417" s="11" t="inlineStr">
        <is>
          <t>Delivered</t>
        </is>
      </c>
      <c r="G417" s="12" t="n">
        <v>46291</v>
      </c>
      <c r="H417" s="5">
        <f>IF(G417="","",Rules!$B$1-G417)</f>
        <v/>
      </c>
      <c r="I417" s="5">
        <f>IF(F417="Address issue","address issue",IF(OR(F417="Delivered",F417="Returned to sender",G417=""),"",IF(AND(Rules!$B$3&lt;&gt;"",F417="Held at customs",H417&gt;=Rules!$B$3),"customs &gt;= "&amp;Rules!$B$3&amp;" days",IF(H417&gt;=Rules!$B$2,"idle &gt;= "&amp;Rules!$B$2&amp;" days",""))))</f>
        <v/>
      </c>
      <c r="J417" s="5">
        <f>IF(I417="","",IF(F417="Address issue",0,COUNTIF($I$2:$I$1001,"address issue"))+COUNTIFS($I$2:$I$1001,"?*",$F$2:$F$1001,IF(F417="Address issue","Address issue","&lt;&gt;Address issue"),$H$2:$H$1001,"&gt;"&amp;H417)+1)</f>
        <v/>
      </c>
    </row>
    <row r="418">
      <c r="A418" s="11" t="n">
        <v>100417</v>
      </c>
      <c r="B418" s="11" t="inlineStr">
        <is>
          <t>Бразилія</t>
        </is>
      </c>
      <c r="C418" s="11" t="inlineStr">
        <is>
          <t>AndesCargo</t>
        </is>
      </c>
      <c r="D418" s="11" t="inlineStr">
        <is>
          <t>AC33201196</t>
        </is>
      </c>
      <c r="E418" s="12" t="n">
        <v>46293</v>
      </c>
      <c r="F418" s="11" t="inlineStr">
        <is>
          <t>Delivered</t>
        </is>
      </c>
      <c r="G418" s="12" t="n">
        <v>46303</v>
      </c>
      <c r="H418" s="5">
        <f>IF(G418="","",Rules!$B$1-G418)</f>
        <v/>
      </c>
      <c r="I418" s="5">
        <f>IF(F418="Address issue","address issue",IF(OR(F418="Delivered",F418="Returned to sender",G418=""),"",IF(AND(Rules!$B$3&lt;&gt;"",F418="Held at customs",H418&gt;=Rules!$B$3),"customs &gt;= "&amp;Rules!$B$3&amp;" days",IF(H418&gt;=Rules!$B$2,"idle &gt;= "&amp;Rules!$B$2&amp;" days",""))))</f>
        <v/>
      </c>
      <c r="J418" s="5">
        <f>IF(I418="","",IF(F418="Address issue",0,COUNTIF($I$2:$I$1001,"address issue"))+COUNTIFS($I$2:$I$1001,"?*",$F$2:$F$1001,IF(F418="Address issue","Address issue","&lt;&gt;Address issue"),$H$2:$H$1001,"&gt;"&amp;H418)+1)</f>
        <v/>
      </c>
    </row>
    <row r="419">
      <c r="A419" s="11" t="n">
        <v>100418</v>
      </c>
      <c r="B419" s="11" t="inlineStr">
        <is>
          <t>Мексика</t>
        </is>
      </c>
      <c r="C419" s="11" t="inlineStr">
        <is>
          <t>AndesCargo</t>
        </is>
      </c>
      <c r="D419" s="11" t="inlineStr">
        <is>
          <t>AC28574072</t>
        </is>
      </c>
      <c r="E419" s="13" t="n">
        <v>46306</v>
      </c>
      <c r="F419" s="11" t="inlineStr">
        <is>
          <t>Address issue</t>
        </is>
      </c>
      <c r="G419" s="13" t="n">
        <v>46310</v>
      </c>
      <c r="H419" s="5">
        <f>IF(G419="","",Rules!$B$1-G419)</f>
        <v/>
      </c>
      <c r="I419" s="5">
        <f>IF(F419="Address issue","address issue",IF(OR(F419="Delivered",F419="Returned to sender",G419=""),"",IF(AND(Rules!$B$3&lt;&gt;"",F419="Held at customs",H419&gt;=Rules!$B$3),"customs &gt;= "&amp;Rules!$B$3&amp;" days",IF(H419&gt;=Rules!$B$2,"idle &gt;= "&amp;Rules!$B$2&amp;" days",""))))</f>
        <v/>
      </c>
      <c r="J419" s="5">
        <f>IF(I419="","",IF(F419="Address issue",0,COUNTIF($I$2:$I$1001,"address issue"))+COUNTIFS($I$2:$I$1001,"?*",$F$2:$F$1001,IF(F419="Address issue","Address issue","&lt;&gt;Address issue"),$H$2:$H$1001,"&gt;"&amp;H419)+1)</f>
        <v/>
      </c>
    </row>
    <row r="420">
      <c r="A420" s="11" t="n">
        <v>100419</v>
      </c>
      <c r="B420" s="11" t="inlineStr">
        <is>
          <t>Бразилія</t>
        </is>
      </c>
      <c r="C420" s="11" t="inlineStr">
        <is>
          <t>SwiftParcel</t>
        </is>
      </c>
      <c r="D420" s="11" t="inlineStr">
        <is>
          <t>SP9681455</t>
        </is>
      </c>
      <c r="E420" s="12" t="n">
        <v>46302</v>
      </c>
      <c r="F420" s="11" t="inlineStr">
        <is>
          <t>Held at customs</t>
        </is>
      </c>
      <c r="G420" s="12" t="n">
        <v>46304</v>
      </c>
      <c r="H420" s="5">
        <f>IF(G420="","",Rules!$B$1-G420)</f>
        <v/>
      </c>
      <c r="I420" s="5">
        <f>IF(F420="Address issue","address issue",IF(OR(F420="Delivered",F420="Returned to sender",G420=""),"",IF(AND(Rules!$B$3&lt;&gt;"",F420="Held at customs",H420&gt;=Rules!$B$3),"customs &gt;= "&amp;Rules!$B$3&amp;" days",IF(H420&gt;=Rules!$B$2,"idle &gt;= "&amp;Rules!$B$2&amp;" days",""))))</f>
        <v/>
      </c>
      <c r="J420" s="5">
        <f>IF(I420="","",IF(F420="Address issue",0,COUNTIF($I$2:$I$1001,"address issue"))+COUNTIFS($I$2:$I$1001,"?*",$F$2:$F$1001,IF(F420="Address issue","Address issue","&lt;&gt;Address issue"),$H$2:$H$1001,"&gt;"&amp;H420)+1)</f>
        <v/>
      </c>
    </row>
    <row r="421">
      <c r="A421" s="11" t="n">
        <v>100420</v>
      </c>
      <c r="B421" s="11" t="inlineStr">
        <is>
          <t>Канада</t>
        </is>
      </c>
      <c r="C421" s="11" t="inlineStr">
        <is>
          <t>PostLink</t>
        </is>
      </c>
      <c r="D421" s="11" t="inlineStr">
        <is>
          <t>PL47542230</t>
        </is>
      </c>
      <c r="E421" s="12" t="n">
        <v>46299</v>
      </c>
      <c r="F421" s="11" t="inlineStr">
        <is>
          <t>Delivered</t>
        </is>
      </c>
      <c r="G421" s="13" t="n">
        <v>46310</v>
      </c>
      <c r="H421" s="5">
        <f>IF(G421="","",Rules!$B$1-G421)</f>
        <v/>
      </c>
      <c r="I421" s="5">
        <f>IF(F421="Address issue","address issue",IF(OR(F421="Delivered",F421="Returned to sender",G421=""),"",IF(AND(Rules!$B$3&lt;&gt;"",F421="Held at customs",H421&gt;=Rules!$B$3),"customs &gt;= "&amp;Rules!$B$3&amp;" days",IF(H421&gt;=Rules!$B$2,"idle &gt;= "&amp;Rules!$B$2&amp;" days",""))))</f>
        <v/>
      </c>
      <c r="J421" s="5">
        <f>IF(I421="","",IF(F421="Address issue",0,COUNTIF($I$2:$I$1001,"address issue"))+COUNTIFS($I$2:$I$1001,"?*",$F$2:$F$1001,IF(F421="Address issue","Address issue","&lt;&gt;Address issue"),$H$2:$H$1001,"&gt;"&amp;H421)+1)</f>
        <v/>
      </c>
    </row>
    <row r="422">
      <c r="A422" s="11" t="n">
        <v>100421</v>
      </c>
      <c r="B422" s="11" t="inlineStr">
        <is>
          <t>Бразилія</t>
        </is>
      </c>
      <c r="C422" s="11" t="inlineStr">
        <is>
          <t>SwiftParcel</t>
        </is>
      </c>
      <c r="D422" s="11" t="inlineStr">
        <is>
          <t>SP9893445</t>
        </is>
      </c>
      <c r="E422" s="12" t="n">
        <v>46297</v>
      </c>
      <c r="F422" s="11" t="inlineStr">
        <is>
          <t>Returned to sender</t>
        </is>
      </c>
      <c r="G422" s="12" t="n">
        <v>46304</v>
      </c>
      <c r="H422" s="5">
        <f>IF(G422="","",Rules!$B$1-G422)</f>
        <v/>
      </c>
      <c r="I422" s="5">
        <f>IF(F422="Address issue","address issue",IF(OR(F422="Delivered",F422="Returned to sender",G422=""),"",IF(AND(Rules!$B$3&lt;&gt;"",F422="Held at customs",H422&gt;=Rules!$B$3),"customs &gt;= "&amp;Rules!$B$3&amp;" days",IF(H422&gt;=Rules!$B$2,"idle &gt;= "&amp;Rules!$B$2&amp;" days",""))))</f>
        <v/>
      </c>
      <c r="J422" s="5">
        <f>IF(I422="","",IF(F422="Address issue",0,COUNTIF($I$2:$I$1001,"address issue"))+COUNTIFS($I$2:$I$1001,"?*",$F$2:$F$1001,IF(F422="Address issue","Address issue","&lt;&gt;Address issue"),$H$2:$H$1001,"&gt;"&amp;H422)+1)</f>
        <v/>
      </c>
    </row>
    <row r="423">
      <c r="A423" s="11" t="n">
        <v>100422</v>
      </c>
      <c r="B423" s="11" t="inlineStr">
        <is>
          <t>Бразилія</t>
        </is>
      </c>
      <c r="C423" s="11" t="inlineStr">
        <is>
          <t>SwiftParcel</t>
        </is>
      </c>
      <c r="D423" s="11" t="inlineStr">
        <is>
          <t>SP9041142</t>
        </is>
      </c>
      <c r="E423" s="12" t="n">
        <v>46303</v>
      </c>
      <c r="F423" s="11" t="inlineStr">
        <is>
          <t>Delivered</t>
        </is>
      </c>
      <c r="G423" s="13" t="n">
        <v>46308</v>
      </c>
      <c r="H423" s="5">
        <f>IF(G423="","",Rules!$B$1-G423)</f>
        <v/>
      </c>
      <c r="I423" s="5">
        <f>IF(F423="Address issue","address issue",IF(OR(F423="Delivered",F423="Returned to sender",G423=""),"",IF(AND(Rules!$B$3&lt;&gt;"",F423="Held at customs",H423&gt;=Rules!$B$3),"customs &gt;= "&amp;Rules!$B$3&amp;" days",IF(H423&gt;=Rules!$B$2,"idle &gt;= "&amp;Rules!$B$2&amp;" days",""))))</f>
        <v/>
      </c>
      <c r="J423" s="5">
        <f>IF(I423="","",IF(F423="Address issue",0,COUNTIF($I$2:$I$1001,"address issue"))+COUNTIFS($I$2:$I$1001,"?*",$F$2:$F$1001,IF(F423="Address issue","Address issue","&lt;&gt;Address issue"),$H$2:$H$1001,"&gt;"&amp;H423)+1)</f>
        <v/>
      </c>
    </row>
    <row r="424">
      <c r="A424" s="11" t="n">
        <v>100423</v>
      </c>
      <c r="B424" s="11" t="inlineStr">
        <is>
          <t>Бразилія</t>
        </is>
      </c>
      <c r="C424" s="11" t="inlineStr">
        <is>
          <t>SwiftParcel</t>
        </is>
      </c>
      <c r="D424" s="11" t="inlineStr">
        <is>
          <t>SP9823129</t>
        </is>
      </c>
      <c r="E424" s="12" t="n">
        <v>46285</v>
      </c>
      <c r="F424" s="11" t="inlineStr">
        <is>
          <t>Delivered</t>
        </is>
      </c>
      <c r="G424" s="12" t="n">
        <v>46291</v>
      </c>
      <c r="H424" s="5">
        <f>IF(G424="","",Rules!$B$1-G424)</f>
        <v/>
      </c>
      <c r="I424" s="5">
        <f>IF(F424="Address issue","address issue",IF(OR(F424="Delivered",F424="Returned to sender",G424=""),"",IF(AND(Rules!$B$3&lt;&gt;"",F424="Held at customs",H424&gt;=Rules!$B$3),"customs &gt;= "&amp;Rules!$B$3&amp;" days",IF(H424&gt;=Rules!$B$2,"idle &gt;= "&amp;Rules!$B$2&amp;" days",""))))</f>
        <v/>
      </c>
      <c r="J424" s="5">
        <f>IF(I424="","",IF(F424="Address issue",0,COUNTIF($I$2:$I$1001,"address issue"))+COUNTIFS($I$2:$I$1001,"?*",$F$2:$F$1001,IF(F424="Address issue","Address issue","&lt;&gt;Address issue"),$H$2:$H$1001,"&gt;"&amp;H424)+1)</f>
        <v/>
      </c>
    </row>
    <row r="425">
      <c r="A425" s="11" t="n">
        <v>100424</v>
      </c>
      <c r="B425" s="11" t="inlineStr">
        <is>
          <t>Мексика</t>
        </is>
      </c>
      <c r="C425" s="11" t="inlineStr">
        <is>
          <t>AndesCargo</t>
        </is>
      </c>
      <c r="D425" s="11" t="inlineStr">
        <is>
          <t>AC39375467</t>
        </is>
      </c>
      <c r="E425" s="12" t="n">
        <v>46295</v>
      </c>
      <c r="F425" s="11" t="inlineStr">
        <is>
          <t>Delivered</t>
        </is>
      </c>
      <c r="G425" s="12" t="n">
        <v>46300</v>
      </c>
      <c r="H425" s="5">
        <f>IF(G425="","",Rules!$B$1-G425)</f>
        <v/>
      </c>
      <c r="I425" s="5">
        <f>IF(F425="Address issue","address issue",IF(OR(F425="Delivered",F425="Returned to sender",G425=""),"",IF(AND(Rules!$B$3&lt;&gt;"",F425="Held at customs",H425&gt;=Rules!$B$3),"customs &gt;= "&amp;Rules!$B$3&amp;" days",IF(H425&gt;=Rules!$B$2,"idle &gt;= "&amp;Rules!$B$2&amp;" days",""))))</f>
        <v/>
      </c>
      <c r="J425" s="5">
        <f>IF(I425="","",IF(F425="Address issue",0,COUNTIF($I$2:$I$1001,"address issue"))+COUNTIFS($I$2:$I$1001,"?*",$F$2:$F$1001,IF(F425="Address issue","Address issue","&lt;&gt;Address issue"),$H$2:$H$1001,"&gt;"&amp;H425)+1)</f>
        <v/>
      </c>
    </row>
    <row r="426">
      <c r="A426" s="11" t="n">
        <v>100425</v>
      </c>
      <c r="B426" s="11" t="inlineStr">
        <is>
          <t>Канада</t>
        </is>
      </c>
      <c r="C426" s="11" t="inlineStr">
        <is>
          <t>PostLink</t>
        </is>
      </c>
      <c r="D426" s="11" t="inlineStr">
        <is>
          <t>PL73722217</t>
        </is>
      </c>
      <c r="E426" s="12" t="n">
        <v>46285</v>
      </c>
      <c r="F426" s="11" t="inlineStr">
        <is>
          <t>Delivered</t>
        </is>
      </c>
      <c r="G426" s="12" t="n">
        <v>46297</v>
      </c>
      <c r="H426" s="5">
        <f>IF(G426="","",Rules!$B$1-G426)</f>
        <v/>
      </c>
      <c r="I426" s="5">
        <f>IF(F426="Address issue","address issue",IF(OR(F426="Delivered",F426="Returned to sender",G426=""),"",IF(AND(Rules!$B$3&lt;&gt;"",F426="Held at customs",H426&gt;=Rules!$B$3),"customs &gt;= "&amp;Rules!$B$3&amp;" days",IF(H426&gt;=Rules!$B$2,"idle &gt;= "&amp;Rules!$B$2&amp;" days",""))))</f>
        <v/>
      </c>
      <c r="J426" s="5">
        <f>IF(I426="","",IF(F426="Address issue",0,COUNTIF($I$2:$I$1001,"address issue"))+COUNTIFS($I$2:$I$1001,"?*",$F$2:$F$1001,IF(F426="Address issue","Address issue","&lt;&gt;Address issue"),$H$2:$H$1001,"&gt;"&amp;H426)+1)</f>
        <v/>
      </c>
    </row>
    <row r="427">
      <c r="A427" s="11" t="n">
        <v>100426</v>
      </c>
      <c r="B427" s="11" t="inlineStr">
        <is>
          <t>Канада</t>
        </is>
      </c>
      <c r="C427" s="11" t="inlineStr">
        <is>
          <t>PostLink</t>
        </is>
      </c>
      <c r="D427" s="11" t="inlineStr">
        <is>
          <t>PL27597120</t>
        </is>
      </c>
      <c r="E427" s="12" t="n">
        <v>46291</v>
      </c>
      <c r="F427" s="11" t="inlineStr">
        <is>
          <t>In transit</t>
        </is>
      </c>
      <c r="G427" s="12" t="n">
        <v>46292</v>
      </c>
      <c r="H427" s="5">
        <f>IF(G427="","",Rules!$B$1-G427)</f>
        <v/>
      </c>
      <c r="I427" s="5">
        <f>IF(F427="Address issue","address issue",IF(OR(F427="Delivered",F427="Returned to sender",G427=""),"",IF(AND(Rules!$B$3&lt;&gt;"",F427="Held at customs",H427&gt;=Rules!$B$3),"customs &gt;= "&amp;Rules!$B$3&amp;" days",IF(H427&gt;=Rules!$B$2,"idle &gt;= "&amp;Rules!$B$2&amp;" days",""))))</f>
        <v/>
      </c>
      <c r="J427" s="5">
        <f>IF(I427="","",IF(F427="Address issue",0,COUNTIF($I$2:$I$1001,"address issue"))+COUNTIFS($I$2:$I$1001,"?*",$F$2:$F$1001,IF(F427="Address issue","Address issue","&lt;&gt;Address issue"),$H$2:$H$1001,"&gt;"&amp;H427)+1)</f>
        <v/>
      </c>
    </row>
    <row r="428">
      <c r="A428" s="11" t="n">
        <v>100427</v>
      </c>
      <c r="B428" s="11" t="inlineStr">
        <is>
          <t>Мексика</t>
        </is>
      </c>
      <c r="C428" s="11" t="inlineStr">
        <is>
          <t>AndesCargo</t>
        </is>
      </c>
      <c r="D428" s="11" t="inlineStr">
        <is>
          <t>AC39206093</t>
        </is>
      </c>
      <c r="E428" s="13" t="n">
        <v>46305</v>
      </c>
      <c r="F428" s="11" t="inlineStr">
        <is>
          <t>In transit</t>
        </is>
      </c>
      <c r="G428" s="13" t="n">
        <v>46306</v>
      </c>
      <c r="H428" s="5">
        <f>IF(G428="","",Rules!$B$1-G428)</f>
        <v/>
      </c>
      <c r="I428" s="5">
        <f>IF(F428="Address issue","address issue",IF(OR(F428="Delivered",F428="Returned to sender",G428=""),"",IF(AND(Rules!$B$3&lt;&gt;"",F428="Held at customs",H428&gt;=Rules!$B$3),"customs &gt;= "&amp;Rules!$B$3&amp;" days",IF(H428&gt;=Rules!$B$2,"idle &gt;= "&amp;Rules!$B$2&amp;" days",""))))</f>
        <v/>
      </c>
      <c r="J428" s="5">
        <f>IF(I428="","",IF(F428="Address issue",0,COUNTIF($I$2:$I$1001,"address issue"))+COUNTIFS($I$2:$I$1001,"?*",$F$2:$F$1001,IF(F428="Address issue","Address issue","&lt;&gt;Address issue"),$H$2:$H$1001,"&gt;"&amp;H428)+1)</f>
        <v/>
      </c>
    </row>
    <row r="429">
      <c r="A429" s="11" t="n">
        <v>100428</v>
      </c>
      <c r="B429" s="11" t="inlineStr">
        <is>
          <t>Канада</t>
        </is>
      </c>
      <c r="C429" s="11" t="inlineStr">
        <is>
          <t>PostLink</t>
        </is>
      </c>
      <c r="D429" s="11" t="inlineStr">
        <is>
          <t>PL86446289</t>
        </is>
      </c>
      <c r="E429" s="13" t="n">
        <v>46305</v>
      </c>
      <c r="F429" s="11" t="inlineStr">
        <is>
          <t>In transit</t>
        </is>
      </c>
      <c r="G429" s="13" t="n">
        <v>46306</v>
      </c>
      <c r="H429" s="5">
        <f>IF(G429="","",Rules!$B$1-G429)</f>
        <v/>
      </c>
      <c r="I429" s="5">
        <f>IF(F429="Address issue","address issue",IF(OR(F429="Delivered",F429="Returned to sender",G429=""),"",IF(AND(Rules!$B$3&lt;&gt;"",F429="Held at customs",H429&gt;=Rules!$B$3),"customs &gt;= "&amp;Rules!$B$3&amp;" days",IF(H429&gt;=Rules!$B$2,"idle &gt;= "&amp;Rules!$B$2&amp;" days",""))))</f>
        <v/>
      </c>
      <c r="J429" s="5">
        <f>IF(I429="","",IF(F429="Address issue",0,COUNTIF($I$2:$I$1001,"address issue"))+COUNTIFS($I$2:$I$1001,"?*",$F$2:$F$1001,IF(F429="Address issue","Address issue","&lt;&gt;Address issue"),$H$2:$H$1001,"&gt;"&amp;H429)+1)</f>
        <v/>
      </c>
    </row>
    <row r="430">
      <c r="A430" s="11" t="n">
        <v>100429</v>
      </c>
      <c r="B430" s="11" t="inlineStr">
        <is>
          <t>Бразилія</t>
        </is>
      </c>
      <c r="C430" s="11" t="inlineStr">
        <is>
          <t>SwiftParcel</t>
        </is>
      </c>
      <c r="D430" s="11" t="inlineStr">
        <is>
          <t>SP2475223</t>
        </is>
      </c>
      <c r="E430" s="13" t="n">
        <v>46305</v>
      </c>
      <c r="F430" s="11" t="inlineStr">
        <is>
          <t>In transit</t>
        </is>
      </c>
      <c r="G430" s="13" t="n">
        <v>46309</v>
      </c>
      <c r="H430" s="5">
        <f>IF(G430="","",Rules!$B$1-G430)</f>
        <v/>
      </c>
      <c r="I430" s="5">
        <f>IF(F430="Address issue","address issue",IF(OR(F430="Delivered",F430="Returned to sender",G430=""),"",IF(AND(Rules!$B$3&lt;&gt;"",F430="Held at customs",H430&gt;=Rules!$B$3),"customs &gt;= "&amp;Rules!$B$3&amp;" days",IF(H430&gt;=Rules!$B$2,"idle &gt;= "&amp;Rules!$B$2&amp;" days",""))))</f>
        <v/>
      </c>
      <c r="J430" s="5">
        <f>IF(I430="","",IF(F430="Address issue",0,COUNTIF($I$2:$I$1001,"address issue"))+COUNTIFS($I$2:$I$1001,"?*",$F$2:$F$1001,IF(F430="Address issue","Address issue","&lt;&gt;Address issue"),$H$2:$H$1001,"&gt;"&amp;H430)+1)</f>
        <v/>
      </c>
    </row>
    <row r="431">
      <c r="A431" s="11" t="n">
        <v>100430</v>
      </c>
      <c r="B431" s="11" t="inlineStr">
        <is>
          <t>Мексика</t>
        </is>
      </c>
      <c r="C431" s="11" t="inlineStr">
        <is>
          <t>AndesCargo</t>
        </is>
      </c>
      <c r="D431" s="11" t="inlineStr">
        <is>
          <t>AC47947905</t>
        </is>
      </c>
      <c r="E431" s="12" t="n">
        <v>46280</v>
      </c>
      <c r="F431" s="11" t="inlineStr">
        <is>
          <t>Delivered</t>
        </is>
      </c>
      <c r="G431" s="12" t="n">
        <v>46289</v>
      </c>
      <c r="H431" s="5">
        <f>IF(G431="","",Rules!$B$1-G431)</f>
        <v/>
      </c>
      <c r="I431" s="5">
        <f>IF(F431="Address issue","address issue",IF(OR(F431="Delivered",F431="Returned to sender",G431=""),"",IF(AND(Rules!$B$3&lt;&gt;"",F431="Held at customs",H431&gt;=Rules!$B$3),"customs &gt;= "&amp;Rules!$B$3&amp;" days",IF(H431&gt;=Rules!$B$2,"idle &gt;= "&amp;Rules!$B$2&amp;" days",""))))</f>
        <v/>
      </c>
      <c r="J431" s="5">
        <f>IF(I431="","",IF(F431="Address issue",0,COUNTIF($I$2:$I$1001,"address issue"))+COUNTIFS($I$2:$I$1001,"?*",$F$2:$F$1001,IF(F431="Address issue","Address issue","&lt;&gt;Address issue"),$H$2:$H$1001,"&gt;"&amp;H431)+1)</f>
        <v/>
      </c>
    </row>
    <row r="432">
      <c r="A432" s="11" t="n">
        <v>100431</v>
      </c>
      <c r="B432" s="11" t="inlineStr">
        <is>
          <t>Канада</t>
        </is>
      </c>
      <c r="C432" s="11" t="inlineStr">
        <is>
          <t>PostLink</t>
        </is>
      </c>
      <c r="D432" s="11" t="inlineStr">
        <is>
          <t>PL73737499</t>
        </is>
      </c>
      <c r="E432" s="12" t="n">
        <v>46303</v>
      </c>
      <c r="F432" s="11" t="inlineStr">
        <is>
          <t>In transit</t>
        </is>
      </c>
      <c r="G432" s="13" t="n">
        <v>46310</v>
      </c>
      <c r="H432" s="5">
        <f>IF(G432="","",Rules!$B$1-G432)</f>
        <v/>
      </c>
      <c r="I432" s="5">
        <f>IF(F432="Address issue","address issue",IF(OR(F432="Delivered",F432="Returned to sender",G432=""),"",IF(AND(Rules!$B$3&lt;&gt;"",F432="Held at customs",H432&gt;=Rules!$B$3),"customs &gt;= "&amp;Rules!$B$3&amp;" days",IF(H432&gt;=Rules!$B$2,"idle &gt;= "&amp;Rules!$B$2&amp;" days",""))))</f>
        <v/>
      </c>
      <c r="J432" s="5">
        <f>IF(I432="","",IF(F432="Address issue",0,COUNTIF($I$2:$I$1001,"address issue"))+COUNTIFS($I$2:$I$1001,"?*",$F$2:$F$1001,IF(F432="Address issue","Address issue","&lt;&gt;Address issue"),$H$2:$H$1001,"&gt;"&amp;H432)+1)</f>
        <v/>
      </c>
    </row>
    <row r="433">
      <c r="A433" s="11" t="n">
        <v>100432</v>
      </c>
      <c r="B433" s="11" t="inlineStr">
        <is>
          <t>Канада</t>
        </is>
      </c>
      <c r="C433" s="11" t="inlineStr">
        <is>
          <t>PostLink</t>
        </is>
      </c>
      <c r="D433" s="11" t="inlineStr">
        <is>
          <t>PL98661162</t>
        </is>
      </c>
      <c r="E433" s="12" t="n">
        <v>46298</v>
      </c>
      <c r="F433" s="11" t="inlineStr">
        <is>
          <t>Held at customs</t>
        </is>
      </c>
      <c r="G433" s="13" t="n">
        <v>46306</v>
      </c>
      <c r="H433" s="5">
        <f>IF(G433="","",Rules!$B$1-G433)</f>
        <v/>
      </c>
      <c r="I433" s="5">
        <f>IF(F433="Address issue","address issue",IF(OR(F433="Delivered",F433="Returned to sender",G433=""),"",IF(AND(Rules!$B$3&lt;&gt;"",F433="Held at customs",H433&gt;=Rules!$B$3),"customs &gt;= "&amp;Rules!$B$3&amp;" days",IF(H433&gt;=Rules!$B$2,"idle &gt;= "&amp;Rules!$B$2&amp;" days",""))))</f>
        <v/>
      </c>
      <c r="J433" s="5">
        <f>IF(I433="","",IF(F433="Address issue",0,COUNTIF($I$2:$I$1001,"address issue"))+COUNTIFS($I$2:$I$1001,"?*",$F$2:$F$1001,IF(F433="Address issue","Address issue","&lt;&gt;Address issue"),$H$2:$H$1001,"&gt;"&amp;H433)+1)</f>
        <v/>
      </c>
    </row>
    <row r="434">
      <c r="A434" s="11" t="n">
        <v>100433</v>
      </c>
      <c r="B434" s="11" t="inlineStr">
        <is>
          <t>Канада</t>
        </is>
      </c>
      <c r="C434" s="11" t="inlineStr">
        <is>
          <t>PostLink</t>
        </is>
      </c>
      <c r="D434" s="11" t="inlineStr">
        <is>
          <t>PL40056685</t>
        </is>
      </c>
      <c r="E434" s="12" t="n">
        <v>46293</v>
      </c>
      <c r="F434" s="11" t="inlineStr">
        <is>
          <t>Address issue</t>
        </is>
      </c>
      <c r="G434" s="12" t="n">
        <v>46300</v>
      </c>
      <c r="H434" s="5">
        <f>IF(G434="","",Rules!$B$1-G434)</f>
        <v/>
      </c>
      <c r="I434" s="5">
        <f>IF(F434="Address issue","address issue",IF(OR(F434="Delivered",F434="Returned to sender",G434=""),"",IF(AND(Rules!$B$3&lt;&gt;"",F434="Held at customs",H434&gt;=Rules!$B$3),"customs &gt;= "&amp;Rules!$B$3&amp;" days",IF(H434&gt;=Rules!$B$2,"idle &gt;= "&amp;Rules!$B$2&amp;" days",""))))</f>
        <v/>
      </c>
      <c r="J434" s="5">
        <f>IF(I434="","",IF(F434="Address issue",0,COUNTIF($I$2:$I$1001,"address issue"))+COUNTIFS($I$2:$I$1001,"?*",$F$2:$F$1001,IF(F434="Address issue","Address issue","&lt;&gt;Address issue"),$H$2:$H$1001,"&gt;"&amp;H434)+1)</f>
        <v/>
      </c>
    </row>
    <row r="435">
      <c r="A435" s="11" t="n">
        <v>100434</v>
      </c>
      <c r="B435" s="11" t="inlineStr">
        <is>
          <t>Канада</t>
        </is>
      </c>
      <c r="C435" s="11" t="inlineStr">
        <is>
          <t>PostLink</t>
        </is>
      </c>
      <c r="D435" s="11" t="inlineStr">
        <is>
          <t>PL78747890</t>
        </is>
      </c>
      <c r="E435" s="12" t="n">
        <v>46285</v>
      </c>
      <c r="F435" s="11" t="inlineStr">
        <is>
          <t>Delivered</t>
        </is>
      </c>
      <c r="G435" s="12" t="n">
        <v>46295</v>
      </c>
      <c r="H435" s="5">
        <f>IF(G435="","",Rules!$B$1-G435)</f>
        <v/>
      </c>
      <c r="I435" s="5">
        <f>IF(F435="Address issue","address issue",IF(OR(F435="Delivered",F435="Returned to sender",G435=""),"",IF(AND(Rules!$B$3&lt;&gt;"",F435="Held at customs",H435&gt;=Rules!$B$3),"customs &gt;= "&amp;Rules!$B$3&amp;" days",IF(H435&gt;=Rules!$B$2,"idle &gt;= "&amp;Rules!$B$2&amp;" days",""))))</f>
        <v/>
      </c>
      <c r="J435" s="5">
        <f>IF(I435="","",IF(F435="Address issue",0,COUNTIF($I$2:$I$1001,"address issue"))+COUNTIFS($I$2:$I$1001,"?*",$F$2:$F$1001,IF(F435="Address issue","Address issue","&lt;&gt;Address issue"),$H$2:$H$1001,"&gt;"&amp;H435)+1)</f>
        <v/>
      </c>
    </row>
    <row r="436">
      <c r="A436" s="11" t="n">
        <v>100435</v>
      </c>
      <c r="B436" s="11" t="inlineStr">
        <is>
          <t>Канада</t>
        </is>
      </c>
      <c r="C436" s="11" t="inlineStr">
        <is>
          <t>PostLink</t>
        </is>
      </c>
      <c r="D436" s="11" t="inlineStr">
        <is>
          <t>PL43295920</t>
        </is>
      </c>
      <c r="E436" s="12" t="n">
        <v>46271</v>
      </c>
      <c r="F436" s="11" t="inlineStr">
        <is>
          <t>Delivered</t>
        </is>
      </c>
      <c r="G436" s="12" t="n">
        <v>46283</v>
      </c>
      <c r="H436" s="5">
        <f>IF(G436="","",Rules!$B$1-G436)</f>
        <v/>
      </c>
      <c r="I436" s="5">
        <f>IF(F436="Address issue","address issue",IF(OR(F436="Delivered",F436="Returned to sender",G436=""),"",IF(AND(Rules!$B$3&lt;&gt;"",F436="Held at customs",H436&gt;=Rules!$B$3),"customs &gt;= "&amp;Rules!$B$3&amp;" days",IF(H436&gt;=Rules!$B$2,"idle &gt;= "&amp;Rules!$B$2&amp;" days",""))))</f>
        <v/>
      </c>
      <c r="J436" s="5">
        <f>IF(I436="","",IF(F436="Address issue",0,COUNTIF($I$2:$I$1001,"address issue"))+COUNTIFS($I$2:$I$1001,"?*",$F$2:$F$1001,IF(F436="Address issue","Address issue","&lt;&gt;Address issue"),$H$2:$H$1001,"&gt;"&amp;H436)+1)</f>
        <v/>
      </c>
    </row>
    <row r="437">
      <c r="A437" s="11" t="n">
        <v>100436</v>
      </c>
      <c r="B437" s="11" t="inlineStr">
        <is>
          <t>Мексика</t>
        </is>
      </c>
      <c r="C437" s="11" t="inlineStr">
        <is>
          <t>AndesCargo</t>
        </is>
      </c>
      <c r="D437" s="11" t="inlineStr">
        <is>
          <t>AC57762592</t>
        </is>
      </c>
      <c r="E437" s="12" t="n">
        <v>46271</v>
      </c>
      <c r="F437" s="11" t="inlineStr">
        <is>
          <t>Delivered</t>
        </is>
      </c>
      <c r="G437" s="12" t="n">
        <v>46280</v>
      </c>
      <c r="H437" s="5">
        <f>IF(G437="","",Rules!$B$1-G437)</f>
        <v/>
      </c>
      <c r="I437" s="5">
        <f>IF(F437="Address issue","address issue",IF(OR(F437="Delivered",F437="Returned to sender",G437=""),"",IF(AND(Rules!$B$3&lt;&gt;"",F437="Held at customs",H437&gt;=Rules!$B$3),"customs &gt;= "&amp;Rules!$B$3&amp;" days",IF(H437&gt;=Rules!$B$2,"idle &gt;= "&amp;Rules!$B$2&amp;" days",""))))</f>
        <v/>
      </c>
      <c r="J437" s="5">
        <f>IF(I437="","",IF(F437="Address issue",0,COUNTIF($I$2:$I$1001,"address issue"))+COUNTIFS($I$2:$I$1001,"?*",$F$2:$F$1001,IF(F437="Address issue","Address issue","&lt;&gt;Address issue"),$H$2:$H$1001,"&gt;"&amp;H437)+1)</f>
        <v/>
      </c>
    </row>
    <row r="438">
      <c r="A438" s="11" t="n">
        <v>100437</v>
      </c>
      <c r="B438" s="11" t="inlineStr">
        <is>
          <t>Мексика</t>
        </is>
      </c>
      <c r="C438" s="11" t="inlineStr">
        <is>
          <t>AndesCargo</t>
        </is>
      </c>
      <c r="D438" s="11" t="inlineStr">
        <is>
          <t>AC34275759</t>
        </is>
      </c>
      <c r="E438" s="12" t="n">
        <v>46304</v>
      </c>
      <c r="F438" s="11" t="inlineStr">
        <is>
          <t>Out for delivery</t>
        </is>
      </c>
      <c r="G438" s="13" t="n">
        <v>46306</v>
      </c>
      <c r="H438" s="5">
        <f>IF(G438="","",Rules!$B$1-G438)</f>
        <v/>
      </c>
      <c r="I438" s="5">
        <f>IF(F438="Address issue","address issue",IF(OR(F438="Delivered",F438="Returned to sender",G438=""),"",IF(AND(Rules!$B$3&lt;&gt;"",F438="Held at customs",H438&gt;=Rules!$B$3),"customs &gt;= "&amp;Rules!$B$3&amp;" days",IF(H438&gt;=Rules!$B$2,"idle &gt;= "&amp;Rules!$B$2&amp;" days",""))))</f>
        <v/>
      </c>
      <c r="J438" s="5">
        <f>IF(I438="","",IF(F438="Address issue",0,COUNTIF($I$2:$I$1001,"address issue"))+COUNTIFS($I$2:$I$1001,"?*",$F$2:$F$1001,IF(F438="Address issue","Address issue","&lt;&gt;Address issue"),$H$2:$H$1001,"&gt;"&amp;H438)+1)</f>
        <v/>
      </c>
    </row>
    <row r="439">
      <c r="A439" s="11" t="n">
        <v>100438</v>
      </c>
      <c r="B439" s="11" t="inlineStr">
        <is>
          <t>Мексика</t>
        </is>
      </c>
      <c r="C439" s="11" t="inlineStr">
        <is>
          <t>AndesCargo</t>
        </is>
      </c>
      <c r="D439" s="11" t="inlineStr">
        <is>
          <t>AC66302368</t>
        </is>
      </c>
      <c r="E439" s="13" t="n">
        <v>46309</v>
      </c>
      <c r="F439" s="11" t="inlineStr">
        <is>
          <t>In transit</t>
        </is>
      </c>
      <c r="G439" s="13" t="n">
        <v>46310</v>
      </c>
      <c r="H439" s="5">
        <f>IF(G439="","",Rules!$B$1-G439)</f>
        <v/>
      </c>
      <c r="I439" s="5">
        <f>IF(F439="Address issue","address issue",IF(OR(F439="Delivered",F439="Returned to sender",G439=""),"",IF(AND(Rules!$B$3&lt;&gt;"",F439="Held at customs",H439&gt;=Rules!$B$3),"customs &gt;= "&amp;Rules!$B$3&amp;" days",IF(H439&gt;=Rules!$B$2,"idle &gt;= "&amp;Rules!$B$2&amp;" days",""))))</f>
        <v/>
      </c>
      <c r="J439" s="5">
        <f>IF(I439="","",IF(F439="Address issue",0,COUNTIF($I$2:$I$1001,"address issue"))+COUNTIFS($I$2:$I$1001,"?*",$F$2:$F$1001,IF(F439="Address issue","Address issue","&lt;&gt;Address issue"),$H$2:$H$1001,"&gt;"&amp;H439)+1)</f>
        <v/>
      </c>
    </row>
    <row r="440">
      <c r="A440" s="11" t="n">
        <v>100439</v>
      </c>
      <c r="B440" s="11" t="inlineStr">
        <is>
          <t>Канада</t>
        </is>
      </c>
      <c r="C440" s="11" t="inlineStr">
        <is>
          <t>PostLink</t>
        </is>
      </c>
      <c r="D440" s="11" t="inlineStr">
        <is>
          <t>PL24780090</t>
        </is>
      </c>
      <c r="E440" s="12" t="n">
        <v>46276</v>
      </c>
      <c r="F440" s="11" t="inlineStr">
        <is>
          <t>Delivered</t>
        </is>
      </c>
      <c r="G440" s="12" t="n">
        <v>46286</v>
      </c>
      <c r="H440" s="5">
        <f>IF(G440="","",Rules!$B$1-G440)</f>
        <v/>
      </c>
      <c r="I440" s="5">
        <f>IF(F440="Address issue","address issue",IF(OR(F440="Delivered",F440="Returned to sender",G440=""),"",IF(AND(Rules!$B$3&lt;&gt;"",F440="Held at customs",H440&gt;=Rules!$B$3),"customs &gt;= "&amp;Rules!$B$3&amp;" days",IF(H440&gt;=Rules!$B$2,"idle &gt;= "&amp;Rules!$B$2&amp;" days",""))))</f>
        <v/>
      </c>
      <c r="J440" s="5">
        <f>IF(I440="","",IF(F440="Address issue",0,COUNTIF($I$2:$I$1001,"address issue"))+COUNTIFS($I$2:$I$1001,"?*",$F$2:$F$1001,IF(F440="Address issue","Address issue","&lt;&gt;Address issue"),$H$2:$H$1001,"&gt;"&amp;H440)+1)</f>
        <v/>
      </c>
    </row>
    <row r="441">
      <c r="A441" s="11" t="n">
        <v>100440</v>
      </c>
      <c r="B441" s="11" t="inlineStr">
        <is>
          <t>Бразилія</t>
        </is>
      </c>
      <c r="C441" s="11" t="inlineStr">
        <is>
          <t>SwiftParcel</t>
        </is>
      </c>
      <c r="D441" s="11" t="inlineStr">
        <is>
          <t>SP9588308</t>
        </is>
      </c>
      <c r="E441" s="12" t="n">
        <v>46301</v>
      </c>
      <c r="F441" s="11" t="inlineStr">
        <is>
          <t>Out for delivery</t>
        </is>
      </c>
      <c r="G441" s="13" t="n">
        <v>46307</v>
      </c>
      <c r="H441" s="5">
        <f>IF(G441="","",Rules!$B$1-G441)</f>
        <v/>
      </c>
      <c r="I441" s="5">
        <f>IF(F441="Address issue","address issue",IF(OR(F441="Delivered",F441="Returned to sender",G441=""),"",IF(AND(Rules!$B$3&lt;&gt;"",F441="Held at customs",H441&gt;=Rules!$B$3),"customs &gt;= "&amp;Rules!$B$3&amp;" days",IF(H441&gt;=Rules!$B$2,"idle &gt;= "&amp;Rules!$B$2&amp;" days",""))))</f>
        <v/>
      </c>
      <c r="J441" s="5">
        <f>IF(I441="","",IF(F441="Address issue",0,COUNTIF($I$2:$I$1001,"address issue"))+COUNTIFS($I$2:$I$1001,"?*",$F$2:$F$1001,IF(F441="Address issue","Address issue","&lt;&gt;Address issue"),$H$2:$H$1001,"&gt;"&amp;H441)+1)</f>
        <v/>
      </c>
    </row>
    <row r="442">
      <c r="A442" s="11" t="n">
        <v>100441</v>
      </c>
      <c r="B442" s="11" t="inlineStr">
        <is>
          <t>Канада</t>
        </is>
      </c>
      <c r="C442" s="11" t="inlineStr">
        <is>
          <t>PostLink</t>
        </is>
      </c>
      <c r="D442" s="11" t="inlineStr">
        <is>
          <t>PL89109595</t>
        </is>
      </c>
      <c r="E442" s="12" t="n">
        <v>46302</v>
      </c>
      <c r="F442" s="11" t="inlineStr">
        <is>
          <t>Delivered</t>
        </is>
      </c>
      <c r="G442" s="13" t="n">
        <v>46309</v>
      </c>
      <c r="H442" s="5">
        <f>IF(G442="","",Rules!$B$1-G442)</f>
        <v/>
      </c>
      <c r="I442" s="5">
        <f>IF(F442="Address issue","address issue",IF(OR(F442="Delivered",F442="Returned to sender",G442=""),"",IF(AND(Rules!$B$3&lt;&gt;"",F442="Held at customs",H442&gt;=Rules!$B$3),"customs &gt;= "&amp;Rules!$B$3&amp;" days",IF(H442&gt;=Rules!$B$2,"idle &gt;= "&amp;Rules!$B$2&amp;" days",""))))</f>
        <v/>
      </c>
      <c r="J442" s="5">
        <f>IF(I442="","",IF(F442="Address issue",0,COUNTIF($I$2:$I$1001,"address issue"))+COUNTIFS($I$2:$I$1001,"?*",$F$2:$F$1001,IF(F442="Address issue","Address issue","&lt;&gt;Address issue"),$H$2:$H$1001,"&gt;"&amp;H442)+1)</f>
        <v/>
      </c>
    </row>
    <row r="443">
      <c r="A443" s="11" t="n">
        <v>100442</v>
      </c>
      <c r="B443" s="11" t="inlineStr">
        <is>
          <t>Канада</t>
        </is>
      </c>
      <c r="C443" s="11" t="inlineStr">
        <is>
          <t>PostLink</t>
        </is>
      </c>
      <c r="D443" s="11" t="inlineStr">
        <is>
          <t>PL86750203</t>
        </is>
      </c>
      <c r="E443" s="12" t="n">
        <v>46295</v>
      </c>
      <c r="F443" s="11" t="inlineStr">
        <is>
          <t>Delivered</t>
        </is>
      </c>
      <c r="G443" s="12" t="n">
        <v>46300</v>
      </c>
      <c r="H443" s="5">
        <f>IF(G443="","",Rules!$B$1-G443)</f>
        <v/>
      </c>
      <c r="I443" s="5">
        <f>IF(F443="Address issue","address issue",IF(OR(F443="Delivered",F443="Returned to sender",G443=""),"",IF(AND(Rules!$B$3&lt;&gt;"",F443="Held at customs",H443&gt;=Rules!$B$3),"customs &gt;= "&amp;Rules!$B$3&amp;" days",IF(H443&gt;=Rules!$B$2,"idle &gt;= "&amp;Rules!$B$2&amp;" days",""))))</f>
        <v/>
      </c>
      <c r="J443" s="5">
        <f>IF(I443="","",IF(F443="Address issue",0,COUNTIF($I$2:$I$1001,"address issue"))+COUNTIFS($I$2:$I$1001,"?*",$F$2:$F$1001,IF(F443="Address issue","Address issue","&lt;&gt;Address issue"),$H$2:$H$1001,"&gt;"&amp;H443)+1)</f>
        <v/>
      </c>
    </row>
    <row r="444">
      <c r="A444" s="11" t="n">
        <v>100443</v>
      </c>
      <c r="B444" s="11" t="inlineStr">
        <is>
          <t>Мексика</t>
        </is>
      </c>
      <c r="C444" s="11" t="inlineStr">
        <is>
          <t>AndesCargo</t>
        </is>
      </c>
      <c r="D444" s="11" t="inlineStr">
        <is>
          <t>AC75668141</t>
        </is>
      </c>
      <c r="E444" s="12" t="n">
        <v>46301</v>
      </c>
      <c r="F444" s="11" t="inlineStr">
        <is>
          <t>In transit</t>
        </is>
      </c>
      <c r="G444" s="13" t="n">
        <v>46305</v>
      </c>
      <c r="H444" s="5">
        <f>IF(G444="","",Rules!$B$1-G444)</f>
        <v/>
      </c>
      <c r="I444" s="5">
        <f>IF(F444="Address issue","address issue",IF(OR(F444="Delivered",F444="Returned to sender",G444=""),"",IF(AND(Rules!$B$3&lt;&gt;"",F444="Held at customs",H444&gt;=Rules!$B$3),"customs &gt;= "&amp;Rules!$B$3&amp;" days",IF(H444&gt;=Rules!$B$2,"idle &gt;= "&amp;Rules!$B$2&amp;" days",""))))</f>
        <v/>
      </c>
      <c r="J444" s="5">
        <f>IF(I444="","",IF(F444="Address issue",0,COUNTIF($I$2:$I$1001,"address issue"))+COUNTIFS($I$2:$I$1001,"?*",$F$2:$F$1001,IF(F444="Address issue","Address issue","&lt;&gt;Address issue"),$H$2:$H$1001,"&gt;"&amp;H444)+1)</f>
        <v/>
      </c>
    </row>
    <row r="445">
      <c r="A445" s="11" t="n">
        <v>100444</v>
      </c>
      <c r="B445" s="11" t="inlineStr">
        <is>
          <t>Мексика</t>
        </is>
      </c>
      <c r="C445" s="11" t="inlineStr">
        <is>
          <t>SwiftParcel</t>
        </is>
      </c>
      <c r="D445" s="11" t="inlineStr">
        <is>
          <t>SP3020265</t>
        </is>
      </c>
      <c r="E445" s="12" t="n">
        <v>46287</v>
      </c>
      <c r="F445" s="11" t="inlineStr">
        <is>
          <t>Delivered</t>
        </is>
      </c>
      <c r="G445" s="12" t="n">
        <v>46294</v>
      </c>
      <c r="H445" s="5">
        <f>IF(G445="","",Rules!$B$1-G445)</f>
        <v/>
      </c>
      <c r="I445" s="5">
        <f>IF(F445="Address issue","address issue",IF(OR(F445="Delivered",F445="Returned to sender",G445=""),"",IF(AND(Rules!$B$3&lt;&gt;"",F445="Held at customs",H445&gt;=Rules!$B$3),"customs &gt;= "&amp;Rules!$B$3&amp;" days",IF(H445&gt;=Rules!$B$2,"idle &gt;= "&amp;Rules!$B$2&amp;" days",""))))</f>
        <v/>
      </c>
      <c r="J445" s="5">
        <f>IF(I445="","",IF(F445="Address issue",0,COUNTIF($I$2:$I$1001,"address issue"))+COUNTIFS($I$2:$I$1001,"?*",$F$2:$F$1001,IF(F445="Address issue","Address issue","&lt;&gt;Address issue"),$H$2:$H$1001,"&gt;"&amp;H445)+1)</f>
        <v/>
      </c>
    </row>
    <row r="446">
      <c r="A446" s="11" t="n">
        <v>100445</v>
      </c>
      <c r="B446" s="11" t="inlineStr">
        <is>
          <t>Мексика</t>
        </is>
      </c>
      <c r="C446" s="11" t="inlineStr">
        <is>
          <t>AndesCargo</t>
        </is>
      </c>
      <c r="D446" s="11" t="inlineStr">
        <is>
          <t>AC93921781</t>
        </is>
      </c>
      <c r="E446" s="12" t="n">
        <v>46300</v>
      </c>
      <c r="F446" s="11" t="inlineStr">
        <is>
          <t>Delivered</t>
        </is>
      </c>
      <c r="G446" s="13" t="n">
        <v>46308</v>
      </c>
      <c r="H446" s="5">
        <f>IF(G446="","",Rules!$B$1-G446)</f>
        <v/>
      </c>
      <c r="I446" s="5">
        <f>IF(F446="Address issue","address issue",IF(OR(F446="Delivered",F446="Returned to sender",G446=""),"",IF(AND(Rules!$B$3&lt;&gt;"",F446="Held at customs",H446&gt;=Rules!$B$3),"customs &gt;= "&amp;Rules!$B$3&amp;" days",IF(H446&gt;=Rules!$B$2,"idle &gt;= "&amp;Rules!$B$2&amp;" days",""))))</f>
        <v/>
      </c>
      <c r="J446" s="5">
        <f>IF(I446="","",IF(F446="Address issue",0,COUNTIF($I$2:$I$1001,"address issue"))+COUNTIFS($I$2:$I$1001,"?*",$F$2:$F$1001,IF(F446="Address issue","Address issue","&lt;&gt;Address issue"),$H$2:$H$1001,"&gt;"&amp;H446)+1)</f>
        <v/>
      </c>
    </row>
    <row r="447">
      <c r="A447" s="11" t="n">
        <v>100446</v>
      </c>
      <c r="B447" s="11" t="inlineStr">
        <is>
          <t>Мексика</t>
        </is>
      </c>
      <c r="C447" s="11" t="inlineStr">
        <is>
          <t>AndesCargo</t>
        </is>
      </c>
      <c r="D447" s="11" t="inlineStr">
        <is>
          <t>AC32875634</t>
        </is>
      </c>
      <c r="E447" s="12" t="n">
        <v>46297</v>
      </c>
      <c r="F447" s="11" t="inlineStr">
        <is>
          <t>Delivered</t>
        </is>
      </c>
      <c r="G447" s="12" t="n">
        <v>46301</v>
      </c>
      <c r="H447" s="5">
        <f>IF(G447="","",Rules!$B$1-G447)</f>
        <v/>
      </c>
      <c r="I447" s="5">
        <f>IF(F447="Address issue","address issue",IF(OR(F447="Delivered",F447="Returned to sender",G447=""),"",IF(AND(Rules!$B$3&lt;&gt;"",F447="Held at customs",H447&gt;=Rules!$B$3),"customs &gt;= "&amp;Rules!$B$3&amp;" days",IF(H447&gt;=Rules!$B$2,"idle &gt;= "&amp;Rules!$B$2&amp;" days",""))))</f>
        <v/>
      </c>
      <c r="J447" s="5">
        <f>IF(I447="","",IF(F447="Address issue",0,COUNTIF($I$2:$I$1001,"address issue"))+COUNTIFS($I$2:$I$1001,"?*",$F$2:$F$1001,IF(F447="Address issue","Address issue","&lt;&gt;Address issue"),$H$2:$H$1001,"&gt;"&amp;H447)+1)</f>
        <v/>
      </c>
    </row>
    <row r="448">
      <c r="A448" s="11" t="n">
        <v>100447</v>
      </c>
      <c r="B448" s="11" t="inlineStr">
        <is>
          <t>Канада</t>
        </is>
      </c>
      <c r="C448" s="11" t="inlineStr">
        <is>
          <t>PostLink</t>
        </is>
      </c>
      <c r="D448" s="11" t="inlineStr">
        <is>
          <t>PL73357676</t>
        </is>
      </c>
      <c r="E448" s="12" t="n">
        <v>46274</v>
      </c>
      <c r="F448" s="11" t="inlineStr">
        <is>
          <t>Delivered</t>
        </is>
      </c>
      <c r="G448" s="12" t="n">
        <v>46284</v>
      </c>
      <c r="H448" s="5">
        <f>IF(G448="","",Rules!$B$1-G448)</f>
        <v/>
      </c>
      <c r="I448" s="5">
        <f>IF(F448="Address issue","address issue",IF(OR(F448="Delivered",F448="Returned to sender",G448=""),"",IF(AND(Rules!$B$3&lt;&gt;"",F448="Held at customs",H448&gt;=Rules!$B$3),"customs &gt;= "&amp;Rules!$B$3&amp;" days",IF(H448&gt;=Rules!$B$2,"idle &gt;= "&amp;Rules!$B$2&amp;" days",""))))</f>
        <v/>
      </c>
      <c r="J448" s="5">
        <f>IF(I448="","",IF(F448="Address issue",0,COUNTIF($I$2:$I$1001,"address issue"))+COUNTIFS($I$2:$I$1001,"?*",$F$2:$F$1001,IF(F448="Address issue","Address issue","&lt;&gt;Address issue"),$H$2:$H$1001,"&gt;"&amp;H448)+1)</f>
        <v/>
      </c>
    </row>
    <row r="449">
      <c r="A449" s="11" t="n">
        <v>100448</v>
      </c>
      <c r="B449" s="11" t="inlineStr">
        <is>
          <t>Бразилія</t>
        </is>
      </c>
      <c r="C449" s="11" t="inlineStr">
        <is>
          <t>SwiftParcel</t>
        </is>
      </c>
      <c r="D449" s="11" t="inlineStr">
        <is>
          <t>SP2398625</t>
        </is>
      </c>
      <c r="E449" s="12" t="n">
        <v>46300</v>
      </c>
      <c r="F449" s="11" t="inlineStr">
        <is>
          <t>Held at customs</t>
        </is>
      </c>
      <c r="G449" s="13" t="n">
        <v>46308</v>
      </c>
      <c r="H449" s="5">
        <f>IF(G449="","",Rules!$B$1-G449)</f>
        <v/>
      </c>
      <c r="I449" s="5">
        <f>IF(F449="Address issue","address issue",IF(OR(F449="Delivered",F449="Returned to sender",G449=""),"",IF(AND(Rules!$B$3&lt;&gt;"",F449="Held at customs",H449&gt;=Rules!$B$3),"customs &gt;= "&amp;Rules!$B$3&amp;" days",IF(H449&gt;=Rules!$B$2,"idle &gt;= "&amp;Rules!$B$2&amp;" days",""))))</f>
        <v/>
      </c>
      <c r="J449" s="5">
        <f>IF(I449="","",IF(F449="Address issue",0,COUNTIF($I$2:$I$1001,"address issue"))+COUNTIFS($I$2:$I$1001,"?*",$F$2:$F$1001,IF(F449="Address issue","Address issue","&lt;&gt;Address issue"),$H$2:$H$1001,"&gt;"&amp;H449)+1)</f>
        <v/>
      </c>
    </row>
    <row r="450">
      <c r="A450" s="11" t="n">
        <v>100449</v>
      </c>
      <c r="B450" s="11" t="inlineStr">
        <is>
          <t>Мексика</t>
        </is>
      </c>
      <c r="C450" s="11" t="inlineStr">
        <is>
          <t>SwiftParcel</t>
        </is>
      </c>
      <c r="D450" s="11" t="inlineStr">
        <is>
          <t>SP1610647</t>
        </is>
      </c>
      <c r="E450" s="12" t="n">
        <v>46303</v>
      </c>
      <c r="F450" s="11" t="inlineStr">
        <is>
          <t>Delivered</t>
        </is>
      </c>
      <c r="G450" s="13" t="n">
        <v>46310</v>
      </c>
      <c r="H450" s="5">
        <f>IF(G450="","",Rules!$B$1-G450)</f>
        <v/>
      </c>
      <c r="I450" s="5">
        <f>IF(F450="Address issue","address issue",IF(OR(F450="Delivered",F450="Returned to sender",G450=""),"",IF(AND(Rules!$B$3&lt;&gt;"",F450="Held at customs",H450&gt;=Rules!$B$3),"customs &gt;= "&amp;Rules!$B$3&amp;" days",IF(H450&gt;=Rules!$B$2,"idle &gt;= "&amp;Rules!$B$2&amp;" days",""))))</f>
        <v/>
      </c>
      <c r="J450" s="5">
        <f>IF(I450="","",IF(F450="Address issue",0,COUNTIF($I$2:$I$1001,"address issue"))+COUNTIFS($I$2:$I$1001,"?*",$F$2:$F$1001,IF(F450="Address issue","Address issue","&lt;&gt;Address issue"),$H$2:$H$1001,"&gt;"&amp;H450)+1)</f>
        <v/>
      </c>
    </row>
    <row r="451">
      <c r="A451" s="11" t="n">
        <v>100450</v>
      </c>
      <c r="B451" s="11" t="inlineStr">
        <is>
          <t>Мексика</t>
        </is>
      </c>
      <c r="C451" s="11" t="inlineStr">
        <is>
          <t>AndesCargo</t>
        </is>
      </c>
      <c r="D451" s="11" t="inlineStr">
        <is>
          <t>AC55283919</t>
        </is>
      </c>
      <c r="E451" s="12" t="n">
        <v>46283</v>
      </c>
      <c r="F451" s="11" t="inlineStr">
        <is>
          <t>Delivered</t>
        </is>
      </c>
      <c r="G451" s="12" t="n">
        <v>46295</v>
      </c>
      <c r="H451" s="5">
        <f>IF(G451="","",Rules!$B$1-G451)</f>
        <v/>
      </c>
      <c r="I451" s="5">
        <f>IF(F451="Address issue","address issue",IF(OR(F451="Delivered",F451="Returned to sender",G451=""),"",IF(AND(Rules!$B$3&lt;&gt;"",F451="Held at customs",H451&gt;=Rules!$B$3),"customs &gt;= "&amp;Rules!$B$3&amp;" days",IF(H451&gt;=Rules!$B$2,"idle &gt;= "&amp;Rules!$B$2&amp;" days",""))))</f>
        <v/>
      </c>
      <c r="J451" s="5">
        <f>IF(I451="","",IF(F451="Address issue",0,COUNTIF($I$2:$I$1001,"address issue"))+COUNTIFS($I$2:$I$1001,"?*",$F$2:$F$1001,IF(F451="Address issue","Address issue","&lt;&gt;Address issue"),$H$2:$H$1001,"&gt;"&amp;H451)+1)</f>
        <v/>
      </c>
    </row>
    <row r="452">
      <c r="A452" s="11" t="n">
        <v>100451</v>
      </c>
      <c r="B452" s="11" t="inlineStr">
        <is>
          <t>Канада</t>
        </is>
      </c>
      <c r="C452" s="11" t="inlineStr">
        <is>
          <t>PostLink</t>
        </is>
      </c>
      <c r="D452" s="11" t="inlineStr">
        <is>
          <t>PL17766671</t>
        </is>
      </c>
      <c r="E452" s="12" t="n">
        <v>46303</v>
      </c>
      <c r="F452" s="11" t="inlineStr">
        <is>
          <t>In transit</t>
        </is>
      </c>
      <c r="G452" s="13" t="n">
        <v>46309</v>
      </c>
      <c r="H452" s="5">
        <f>IF(G452="","",Rules!$B$1-G452)</f>
        <v/>
      </c>
      <c r="I452" s="5">
        <f>IF(F452="Address issue","address issue",IF(OR(F452="Delivered",F452="Returned to sender",G452=""),"",IF(AND(Rules!$B$3&lt;&gt;"",F452="Held at customs",H452&gt;=Rules!$B$3),"customs &gt;= "&amp;Rules!$B$3&amp;" days",IF(H452&gt;=Rules!$B$2,"idle &gt;= "&amp;Rules!$B$2&amp;" days",""))))</f>
        <v/>
      </c>
      <c r="J452" s="5">
        <f>IF(I452="","",IF(F452="Address issue",0,COUNTIF($I$2:$I$1001,"address issue"))+COUNTIFS($I$2:$I$1001,"?*",$F$2:$F$1001,IF(F452="Address issue","Address issue","&lt;&gt;Address issue"),$H$2:$H$1001,"&gt;"&amp;H452)+1)</f>
        <v/>
      </c>
    </row>
    <row r="453">
      <c r="A453" s="11" t="n">
        <v>100452</v>
      </c>
      <c r="B453" s="11" t="inlineStr">
        <is>
          <t>Мексика</t>
        </is>
      </c>
      <c r="C453" s="11" t="inlineStr">
        <is>
          <t>AndesCargo</t>
        </is>
      </c>
      <c r="D453" s="11" t="inlineStr">
        <is>
          <t>AC34066808</t>
        </is>
      </c>
      <c r="E453" s="12" t="n">
        <v>46293</v>
      </c>
      <c r="F453" s="11" t="inlineStr">
        <is>
          <t>Delivered</t>
        </is>
      </c>
      <c r="G453" s="12" t="n">
        <v>46298</v>
      </c>
      <c r="H453" s="5">
        <f>IF(G453="","",Rules!$B$1-G453)</f>
        <v/>
      </c>
      <c r="I453" s="5">
        <f>IF(F453="Address issue","address issue",IF(OR(F453="Delivered",F453="Returned to sender",G453=""),"",IF(AND(Rules!$B$3&lt;&gt;"",F453="Held at customs",H453&gt;=Rules!$B$3),"customs &gt;= "&amp;Rules!$B$3&amp;" days",IF(H453&gt;=Rules!$B$2,"idle &gt;= "&amp;Rules!$B$2&amp;" days",""))))</f>
        <v/>
      </c>
      <c r="J453" s="5">
        <f>IF(I453="","",IF(F453="Address issue",0,COUNTIF($I$2:$I$1001,"address issue"))+COUNTIFS($I$2:$I$1001,"?*",$F$2:$F$1001,IF(F453="Address issue","Address issue","&lt;&gt;Address issue"),$H$2:$H$1001,"&gt;"&amp;H453)+1)</f>
        <v/>
      </c>
    </row>
    <row r="454">
      <c r="A454" s="11" t="n">
        <v>100453</v>
      </c>
      <c r="B454" s="11" t="inlineStr">
        <is>
          <t>Бразилія</t>
        </is>
      </c>
      <c r="C454" s="11" t="inlineStr">
        <is>
          <t>SwiftParcel</t>
        </is>
      </c>
      <c r="D454" s="11" t="inlineStr">
        <is>
          <t>SP1078656</t>
        </is>
      </c>
      <c r="E454" s="12" t="n">
        <v>46297</v>
      </c>
      <c r="F454" s="11" t="inlineStr">
        <is>
          <t>Delivered</t>
        </is>
      </c>
      <c r="G454" s="13" t="n">
        <v>46305</v>
      </c>
      <c r="H454" s="5">
        <f>IF(G454="","",Rules!$B$1-G454)</f>
        <v/>
      </c>
      <c r="I454" s="5">
        <f>IF(F454="Address issue","address issue",IF(OR(F454="Delivered",F454="Returned to sender",G454=""),"",IF(AND(Rules!$B$3&lt;&gt;"",F454="Held at customs",H454&gt;=Rules!$B$3),"customs &gt;= "&amp;Rules!$B$3&amp;" days",IF(H454&gt;=Rules!$B$2,"idle &gt;= "&amp;Rules!$B$2&amp;" days",""))))</f>
        <v/>
      </c>
      <c r="J454" s="5">
        <f>IF(I454="","",IF(F454="Address issue",0,COUNTIF($I$2:$I$1001,"address issue"))+COUNTIFS($I$2:$I$1001,"?*",$F$2:$F$1001,IF(F454="Address issue","Address issue","&lt;&gt;Address issue"),$H$2:$H$1001,"&gt;"&amp;H454)+1)</f>
        <v/>
      </c>
    </row>
    <row r="455">
      <c r="A455" s="11" t="n">
        <v>100454</v>
      </c>
      <c r="B455" s="11" t="inlineStr">
        <is>
          <t>Мексика</t>
        </is>
      </c>
      <c r="C455" s="11" t="inlineStr">
        <is>
          <t>AndesCargo</t>
        </is>
      </c>
      <c r="D455" s="11" t="inlineStr">
        <is>
          <t>AC39811624</t>
        </is>
      </c>
      <c r="E455" s="12" t="n">
        <v>46303</v>
      </c>
      <c r="F455" s="11" t="inlineStr">
        <is>
          <t>Out for delivery</t>
        </is>
      </c>
      <c r="G455" s="13" t="n">
        <v>46310</v>
      </c>
      <c r="H455" s="5">
        <f>IF(G455="","",Rules!$B$1-G455)</f>
        <v/>
      </c>
      <c r="I455" s="5">
        <f>IF(F455="Address issue","address issue",IF(OR(F455="Delivered",F455="Returned to sender",G455=""),"",IF(AND(Rules!$B$3&lt;&gt;"",F455="Held at customs",H455&gt;=Rules!$B$3),"customs &gt;= "&amp;Rules!$B$3&amp;" days",IF(H455&gt;=Rules!$B$2,"idle &gt;= "&amp;Rules!$B$2&amp;" days",""))))</f>
        <v/>
      </c>
      <c r="J455" s="5">
        <f>IF(I455="","",IF(F455="Address issue",0,COUNTIF($I$2:$I$1001,"address issue"))+COUNTIFS($I$2:$I$1001,"?*",$F$2:$F$1001,IF(F455="Address issue","Address issue","&lt;&gt;Address issue"),$H$2:$H$1001,"&gt;"&amp;H455)+1)</f>
        <v/>
      </c>
    </row>
    <row r="456">
      <c r="A456" s="11" t="n">
        <v>100455</v>
      </c>
      <c r="B456" s="11" t="inlineStr">
        <is>
          <t>Мексика</t>
        </is>
      </c>
      <c r="C456" s="11" t="inlineStr">
        <is>
          <t>SwiftParcel</t>
        </is>
      </c>
      <c r="D456" s="11" t="inlineStr">
        <is>
          <t>SP4168505</t>
        </is>
      </c>
      <c r="E456" s="12" t="n">
        <v>46284</v>
      </c>
      <c r="F456" s="11" t="inlineStr">
        <is>
          <t>Delivered</t>
        </is>
      </c>
      <c r="G456" s="12" t="n">
        <v>46294</v>
      </c>
      <c r="H456" s="5">
        <f>IF(G456="","",Rules!$B$1-G456)</f>
        <v/>
      </c>
      <c r="I456" s="5">
        <f>IF(F456="Address issue","address issue",IF(OR(F456="Delivered",F456="Returned to sender",G456=""),"",IF(AND(Rules!$B$3&lt;&gt;"",F456="Held at customs",H456&gt;=Rules!$B$3),"customs &gt;= "&amp;Rules!$B$3&amp;" days",IF(H456&gt;=Rules!$B$2,"idle &gt;= "&amp;Rules!$B$2&amp;" days",""))))</f>
        <v/>
      </c>
      <c r="J456" s="5">
        <f>IF(I456="","",IF(F456="Address issue",0,COUNTIF($I$2:$I$1001,"address issue"))+COUNTIFS($I$2:$I$1001,"?*",$F$2:$F$1001,IF(F456="Address issue","Address issue","&lt;&gt;Address issue"),$H$2:$H$1001,"&gt;"&amp;H456)+1)</f>
        <v/>
      </c>
    </row>
    <row r="457">
      <c r="A457" s="11" t="n">
        <v>100456</v>
      </c>
      <c r="B457" s="11" t="inlineStr">
        <is>
          <t>Канада</t>
        </is>
      </c>
      <c r="C457" s="11" t="inlineStr">
        <is>
          <t>PostLink</t>
        </is>
      </c>
      <c r="D457" s="11" t="inlineStr">
        <is>
          <t>PL65100235</t>
        </is>
      </c>
      <c r="E457" s="12" t="n">
        <v>46279</v>
      </c>
      <c r="F457" s="11" t="inlineStr">
        <is>
          <t>Delivered</t>
        </is>
      </c>
      <c r="G457" s="12" t="n">
        <v>46288</v>
      </c>
      <c r="H457" s="5">
        <f>IF(G457="","",Rules!$B$1-G457)</f>
        <v/>
      </c>
      <c r="I457" s="5">
        <f>IF(F457="Address issue","address issue",IF(OR(F457="Delivered",F457="Returned to sender",G457=""),"",IF(AND(Rules!$B$3&lt;&gt;"",F457="Held at customs",H457&gt;=Rules!$B$3),"customs &gt;= "&amp;Rules!$B$3&amp;" days",IF(H457&gt;=Rules!$B$2,"idle &gt;= "&amp;Rules!$B$2&amp;" days",""))))</f>
        <v/>
      </c>
      <c r="J457" s="5">
        <f>IF(I457="","",IF(F457="Address issue",0,COUNTIF($I$2:$I$1001,"address issue"))+COUNTIFS($I$2:$I$1001,"?*",$F$2:$F$1001,IF(F457="Address issue","Address issue","&lt;&gt;Address issue"),$H$2:$H$1001,"&gt;"&amp;H457)+1)</f>
        <v/>
      </c>
    </row>
    <row r="458">
      <c r="A458" s="11" t="n">
        <v>100457</v>
      </c>
      <c r="B458" s="11" t="inlineStr">
        <is>
          <t>Бразилія</t>
        </is>
      </c>
      <c r="C458" s="11" t="inlineStr">
        <is>
          <t>SwiftParcel</t>
        </is>
      </c>
      <c r="D458" s="11" t="inlineStr">
        <is>
          <t>SP1401174</t>
        </is>
      </c>
      <c r="E458" s="12" t="n">
        <v>46288</v>
      </c>
      <c r="F458" s="11" t="inlineStr">
        <is>
          <t>Delivered</t>
        </is>
      </c>
      <c r="G458" s="12" t="n">
        <v>46296</v>
      </c>
      <c r="H458" s="5">
        <f>IF(G458="","",Rules!$B$1-G458)</f>
        <v/>
      </c>
      <c r="I458" s="5">
        <f>IF(F458="Address issue","address issue",IF(OR(F458="Delivered",F458="Returned to sender",G458=""),"",IF(AND(Rules!$B$3&lt;&gt;"",F458="Held at customs",H458&gt;=Rules!$B$3),"customs &gt;= "&amp;Rules!$B$3&amp;" days",IF(H458&gt;=Rules!$B$2,"idle &gt;= "&amp;Rules!$B$2&amp;" days",""))))</f>
        <v/>
      </c>
      <c r="J458" s="5">
        <f>IF(I458="","",IF(F458="Address issue",0,COUNTIF($I$2:$I$1001,"address issue"))+COUNTIFS($I$2:$I$1001,"?*",$F$2:$F$1001,IF(F458="Address issue","Address issue","&lt;&gt;Address issue"),$H$2:$H$1001,"&gt;"&amp;H458)+1)</f>
        <v/>
      </c>
    </row>
    <row r="459">
      <c r="A459" s="11" t="n">
        <v>100458</v>
      </c>
      <c r="B459" s="11" t="inlineStr">
        <is>
          <t>Канада</t>
        </is>
      </c>
      <c r="C459" s="11" t="inlineStr">
        <is>
          <t>PostLink</t>
        </is>
      </c>
      <c r="D459" s="11" t="inlineStr">
        <is>
          <t>PL31525010</t>
        </is>
      </c>
      <c r="E459" s="12" t="n">
        <v>46302</v>
      </c>
      <c r="F459" s="11" t="inlineStr">
        <is>
          <t>In transit</t>
        </is>
      </c>
      <c r="G459" s="13" t="n">
        <v>46309</v>
      </c>
      <c r="H459" s="5">
        <f>IF(G459="","",Rules!$B$1-G459)</f>
        <v/>
      </c>
      <c r="I459" s="5">
        <f>IF(F459="Address issue","address issue",IF(OR(F459="Delivered",F459="Returned to sender",G459=""),"",IF(AND(Rules!$B$3&lt;&gt;"",F459="Held at customs",H459&gt;=Rules!$B$3),"customs &gt;= "&amp;Rules!$B$3&amp;" days",IF(H459&gt;=Rules!$B$2,"idle &gt;= "&amp;Rules!$B$2&amp;" days",""))))</f>
        <v/>
      </c>
      <c r="J459" s="5">
        <f>IF(I459="","",IF(F459="Address issue",0,COUNTIF($I$2:$I$1001,"address issue"))+COUNTIFS($I$2:$I$1001,"?*",$F$2:$F$1001,IF(F459="Address issue","Address issue","&lt;&gt;Address issue"),$H$2:$H$1001,"&gt;"&amp;H459)+1)</f>
        <v/>
      </c>
    </row>
    <row r="460">
      <c r="A460" s="11" t="n">
        <v>100459</v>
      </c>
      <c r="B460" s="11" t="inlineStr">
        <is>
          <t>Мексика</t>
        </is>
      </c>
      <c r="C460" s="11" t="inlineStr">
        <is>
          <t>AndesCargo</t>
        </is>
      </c>
      <c r="D460" s="11" t="inlineStr">
        <is>
          <t>AC93615212</t>
        </is>
      </c>
      <c r="E460" s="12" t="n">
        <v>46283</v>
      </c>
      <c r="F460" s="11" t="inlineStr">
        <is>
          <t>Delivered</t>
        </is>
      </c>
      <c r="G460" s="12" t="n">
        <v>46294</v>
      </c>
      <c r="H460" s="5">
        <f>IF(G460="","",Rules!$B$1-G460)</f>
        <v/>
      </c>
      <c r="I460" s="5">
        <f>IF(F460="Address issue","address issue",IF(OR(F460="Delivered",F460="Returned to sender",G460=""),"",IF(AND(Rules!$B$3&lt;&gt;"",F460="Held at customs",H460&gt;=Rules!$B$3),"customs &gt;= "&amp;Rules!$B$3&amp;" days",IF(H460&gt;=Rules!$B$2,"idle &gt;= "&amp;Rules!$B$2&amp;" days",""))))</f>
        <v/>
      </c>
      <c r="J460" s="5">
        <f>IF(I460="","",IF(F460="Address issue",0,COUNTIF($I$2:$I$1001,"address issue"))+COUNTIFS($I$2:$I$1001,"?*",$F$2:$F$1001,IF(F460="Address issue","Address issue","&lt;&gt;Address issue"),$H$2:$H$1001,"&gt;"&amp;H460)+1)</f>
        <v/>
      </c>
    </row>
    <row r="461">
      <c r="A461" s="11" t="n">
        <v>100460</v>
      </c>
      <c r="B461" s="11" t="inlineStr">
        <is>
          <t>Мексика</t>
        </is>
      </c>
      <c r="C461" s="11" t="inlineStr">
        <is>
          <t>AndesCargo</t>
        </is>
      </c>
      <c r="D461" s="11" t="inlineStr">
        <is>
          <t>AC56616125</t>
        </is>
      </c>
      <c r="E461" s="12" t="n">
        <v>46298</v>
      </c>
      <c r="F461" s="11" t="inlineStr">
        <is>
          <t>Returned to sender</t>
        </is>
      </c>
      <c r="G461" s="12" t="n">
        <v>46303</v>
      </c>
      <c r="H461" s="5">
        <f>IF(G461="","",Rules!$B$1-G461)</f>
        <v/>
      </c>
      <c r="I461" s="5">
        <f>IF(F461="Address issue","address issue",IF(OR(F461="Delivered",F461="Returned to sender",G461=""),"",IF(AND(Rules!$B$3&lt;&gt;"",F461="Held at customs",H461&gt;=Rules!$B$3),"customs &gt;= "&amp;Rules!$B$3&amp;" days",IF(H461&gt;=Rules!$B$2,"idle &gt;= "&amp;Rules!$B$2&amp;" days",""))))</f>
        <v/>
      </c>
      <c r="J461" s="5">
        <f>IF(I461="","",IF(F461="Address issue",0,COUNTIF($I$2:$I$1001,"address issue"))+COUNTIFS($I$2:$I$1001,"?*",$F$2:$F$1001,IF(F461="Address issue","Address issue","&lt;&gt;Address issue"),$H$2:$H$1001,"&gt;"&amp;H461)+1)</f>
        <v/>
      </c>
    </row>
    <row r="462">
      <c r="A462" s="11" t="n">
        <v>100461</v>
      </c>
      <c r="B462" s="11" t="inlineStr">
        <is>
          <t>Бразилія</t>
        </is>
      </c>
      <c r="C462" s="11" t="inlineStr">
        <is>
          <t>AndesCargo</t>
        </is>
      </c>
      <c r="D462" s="11" t="inlineStr">
        <is>
          <t>AC60541457</t>
        </is>
      </c>
      <c r="E462" s="12" t="n">
        <v>46287</v>
      </c>
      <c r="F462" s="11" t="inlineStr">
        <is>
          <t>Delivered</t>
        </is>
      </c>
      <c r="G462" s="12" t="n">
        <v>46298</v>
      </c>
      <c r="H462" s="5">
        <f>IF(G462="","",Rules!$B$1-G462)</f>
        <v/>
      </c>
      <c r="I462" s="5">
        <f>IF(F462="Address issue","address issue",IF(OR(F462="Delivered",F462="Returned to sender",G462=""),"",IF(AND(Rules!$B$3&lt;&gt;"",F462="Held at customs",H462&gt;=Rules!$B$3),"customs &gt;= "&amp;Rules!$B$3&amp;" days",IF(H462&gt;=Rules!$B$2,"idle &gt;= "&amp;Rules!$B$2&amp;" days",""))))</f>
        <v/>
      </c>
      <c r="J462" s="5">
        <f>IF(I462="","",IF(F462="Address issue",0,COUNTIF($I$2:$I$1001,"address issue"))+COUNTIFS($I$2:$I$1001,"?*",$F$2:$F$1001,IF(F462="Address issue","Address issue","&lt;&gt;Address issue"),$H$2:$H$1001,"&gt;"&amp;H462)+1)</f>
        <v/>
      </c>
    </row>
    <row r="463">
      <c r="A463" s="11" t="n">
        <v>100462</v>
      </c>
      <c r="B463" s="11" t="inlineStr">
        <is>
          <t>Мексика</t>
        </is>
      </c>
      <c r="C463" s="11" t="inlineStr">
        <is>
          <t>AndesCargo</t>
        </is>
      </c>
      <c r="D463" s="11" t="inlineStr">
        <is>
          <t>AC40271957</t>
        </is>
      </c>
      <c r="E463" s="12" t="n">
        <v>46282</v>
      </c>
      <c r="F463" s="11" t="inlineStr">
        <is>
          <t>Delivered</t>
        </is>
      </c>
      <c r="G463" s="12" t="n">
        <v>46293</v>
      </c>
      <c r="H463" s="5">
        <f>IF(G463="","",Rules!$B$1-G463)</f>
        <v/>
      </c>
      <c r="I463" s="5">
        <f>IF(F463="Address issue","address issue",IF(OR(F463="Delivered",F463="Returned to sender",G463=""),"",IF(AND(Rules!$B$3&lt;&gt;"",F463="Held at customs",H463&gt;=Rules!$B$3),"customs &gt;= "&amp;Rules!$B$3&amp;" days",IF(H463&gt;=Rules!$B$2,"idle &gt;= "&amp;Rules!$B$2&amp;" days",""))))</f>
        <v/>
      </c>
      <c r="J463" s="5">
        <f>IF(I463="","",IF(F463="Address issue",0,COUNTIF($I$2:$I$1001,"address issue"))+COUNTIFS($I$2:$I$1001,"?*",$F$2:$F$1001,IF(F463="Address issue","Address issue","&lt;&gt;Address issue"),$H$2:$H$1001,"&gt;"&amp;H463)+1)</f>
        <v/>
      </c>
    </row>
    <row r="464">
      <c r="A464" s="11" t="n">
        <v>100463</v>
      </c>
      <c r="B464" s="11" t="inlineStr">
        <is>
          <t>Мексика</t>
        </is>
      </c>
      <c r="C464" s="11" t="inlineStr">
        <is>
          <t>AndesCargo</t>
        </is>
      </c>
      <c r="D464" s="11" t="inlineStr">
        <is>
          <t>AC62320527</t>
        </is>
      </c>
      <c r="E464" s="12" t="n">
        <v>46303</v>
      </c>
      <c r="F464" s="11" t="inlineStr">
        <is>
          <t>Held at customs</t>
        </is>
      </c>
      <c r="G464" s="13" t="n">
        <v>46308</v>
      </c>
      <c r="H464" s="5">
        <f>IF(G464="","",Rules!$B$1-G464)</f>
        <v/>
      </c>
      <c r="I464" s="5">
        <f>IF(F464="Address issue","address issue",IF(OR(F464="Delivered",F464="Returned to sender",G464=""),"",IF(AND(Rules!$B$3&lt;&gt;"",F464="Held at customs",H464&gt;=Rules!$B$3),"customs &gt;= "&amp;Rules!$B$3&amp;" days",IF(H464&gt;=Rules!$B$2,"idle &gt;= "&amp;Rules!$B$2&amp;" days",""))))</f>
        <v/>
      </c>
      <c r="J464" s="5">
        <f>IF(I464="","",IF(F464="Address issue",0,COUNTIF($I$2:$I$1001,"address issue"))+COUNTIFS($I$2:$I$1001,"?*",$F$2:$F$1001,IF(F464="Address issue","Address issue","&lt;&gt;Address issue"),$H$2:$H$1001,"&gt;"&amp;H464)+1)</f>
        <v/>
      </c>
    </row>
    <row r="465">
      <c r="A465" s="11" t="n">
        <v>100464</v>
      </c>
      <c r="B465" s="11" t="inlineStr">
        <is>
          <t>Мексика</t>
        </is>
      </c>
      <c r="C465" s="11" t="inlineStr">
        <is>
          <t>AndesCargo</t>
        </is>
      </c>
      <c r="D465" s="11" t="inlineStr">
        <is>
          <t>AC75853800</t>
        </is>
      </c>
      <c r="E465" s="12" t="n">
        <v>46296</v>
      </c>
      <c r="F465" s="11" t="inlineStr">
        <is>
          <t>Returned to sender</t>
        </is>
      </c>
      <c r="G465" s="12" t="n">
        <v>46301</v>
      </c>
      <c r="H465" s="5">
        <f>IF(G465="","",Rules!$B$1-G465)</f>
        <v/>
      </c>
      <c r="I465" s="5">
        <f>IF(F465="Address issue","address issue",IF(OR(F465="Delivered",F465="Returned to sender",G465=""),"",IF(AND(Rules!$B$3&lt;&gt;"",F465="Held at customs",H465&gt;=Rules!$B$3),"customs &gt;= "&amp;Rules!$B$3&amp;" days",IF(H465&gt;=Rules!$B$2,"idle &gt;= "&amp;Rules!$B$2&amp;" days",""))))</f>
        <v/>
      </c>
      <c r="J465" s="5">
        <f>IF(I465="","",IF(F465="Address issue",0,COUNTIF($I$2:$I$1001,"address issue"))+COUNTIFS($I$2:$I$1001,"?*",$F$2:$F$1001,IF(F465="Address issue","Address issue","&lt;&gt;Address issue"),$H$2:$H$1001,"&gt;"&amp;H465)+1)</f>
        <v/>
      </c>
    </row>
    <row r="466">
      <c r="A466" s="11" t="n">
        <v>100465</v>
      </c>
      <c r="B466" s="11" t="inlineStr">
        <is>
          <t>Канада</t>
        </is>
      </c>
      <c r="C466" s="11" t="inlineStr">
        <is>
          <t>PostLink</t>
        </is>
      </c>
      <c r="D466" s="11" t="inlineStr">
        <is>
          <t>PL61588201</t>
        </is>
      </c>
      <c r="E466" s="13" t="n">
        <v>46307</v>
      </c>
      <c r="F466" s="11" t="inlineStr">
        <is>
          <t>In transit</t>
        </is>
      </c>
      <c r="G466" s="13" t="n">
        <v>46309</v>
      </c>
      <c r="H466" s="5">
        <f>IF(G466="","",Rules!$B$1-G466)</f>
        <v/>
      </c>
      <c r="I466" s="5">
        <f>IF(F466="Address issue","address issue",IF(OR(F466="Delivered",F466="Returned to sender",G466=""),"",IF(AND(Rules!$B$3&lt;&gt;"",F466="Held at customs",H466&gt;=Rules!$B$3),"customs &gt;= "&amp;Rules!$B$3&amp;" days",IF(H466&gt;=Rules!$B$2,"idle &gt;= "&amp;Rules!$B$2&amp;" days",""))))</f>
        <v/>
      </c>
      <c r="J466" s="5">
        <f>IF(I466="","",IF(F466="Address issue",0,COUNTIF($I$2:$I$1001,"address issue"))+COUNTIFS($I$2:$I$1001,"?*",$F$2:$F$1001,IF(F466="Address issue","Address issue","&lt;&gt;Address issue"),$H$2:$H$1001,"&gt;"&amp;H466)+1)</f>
        <v/>
      </c>
    </row>
    <row r="467">
      <c r="A467" s="11" t="n">
        <v>100466</v>
      </c>
      <c r="B467" s="11" t="inlineStr">
        <is>
          <t>Канада</t>
        </is>
      </c>
      <c r="C467" s="11" t="inlineStr">
        <is>
          <t>PostLink</t>
        </is>
      </c>
      <c r="D467" s="11" t="inlineStr">
        <is>
          <t>PL97883036</t>
        </is>
      </c>
      <c r="E467" s="12" t="n">
        <v>46285</v>
      </c>
      <c r="F467" s="11" t="inlineStr">
        <is>
          <t>Delivered</t>
        </is>
      </c>
      <c r="G467" s="12" t="n">
        <v>46296</v>
      </c>
      <c r="H467" s="5">
        <f>IF(G467="","",Rules!$B$1-G467)</f>
        <v/>
      </c>
      <c r="I467" s="5">
        <f>IF(F467="Address issue","address issue",IF(OR(F467="Delivered",F467="Returned to sender",G467=""),"",IF(AND(Rules!$B$3&lt;&gt;"",F467="Held at customs",H467&gt;=Rules!$B$3),"customs &gt;= "&amp;Rules!$B$3&amp;" days",IF(H467&gt;=Rules!$B$2,"idle &gt;= "&amp;Rules!$B$2&amp;" days",""))))</f>
        <v/>
      </c>
      <c r="J467" s="5">
        <f>IF(I467="","",IF(F467="Address issue",0,COUNTIF($I$2:$I$1001,"address issue"))+COUNTIFS($I$2:$I$1001,"?*",$F$2:$F$1001,IF(F467="Address issue","Address issue","&lt;&gt;Address issue"),$H$2:$H$1001,"&gt;"&amp;H467)+1)</f>
        <v/>
      </c>
    </row>
    <row r="468">
      <c r="A468" s="11" t="n">
        <v>100467</v>
      </c>
      <c r="B468" s="11" t="inlineStr">
        <is>
          <t>Мексика</t>
        </is>
      </c>
      <c r="C468" s="11" t="inlineStr">
        <is>
          <t>AndesCargo</t>
        </is>
      </c>
      <c r="D468" s="11" t="inlineStr">
        <is>
          <t>AC81039544</t>
        </is>
      </c>
      <c r="E468" s="12" t="n">
        <v>46299</v>
      </c>
      <c r="F468" s="11" t="inlineStr">
        <is>
          <t>Delivered</t>
        </is>
      </c>
      <c r="G468" s="12" t="n">
        <v>46302</v>
      </c>
      <c r="H468" s="5">
        <f>IF(G468="","",Rules!$B$1-G468)</f>
        <v/>
      </c>
      <c r="I468" s="5">
        <f>IF(F468="Address issue","address issue",IF(OR(F468="Delivered",F468="Returned to sender",G468=""),"",IF(AND(Rules!$B$3&lt;&gt;"",F468="Held at customs",H468&gt;=Rules!$B$3),"customs &gt;= "&amp;Rules!$B$3&amp;" days",IF(H468&gt;=Rules!$B$2,"idle &gt;= "&amp;Rules!$B$2&amp;" days",""))))</f>
        <v/>
      </c>
      <c r="J468" s="5">
        <f>IF(I468="","",IF(F468="Address issue",0,COUNTIF($I$2:$I$1001,"address issue"))+COUNTIFS($I$2:$I$1001,"?*",$F$2:$F$1001,IF(F468="Address issue","Address issue","&lt;&gt;Address issue"),$H$2:$H$1001,"&gt;"&amp;H468)+1)</f>
        <v/>
      </c>
    </row>
    <row r="469">
      <c r="A469" s="11" t="n">
        <v>100468</v>
      </c>
      <c r="B469" s="11" t="inlineStr">
        <is>
          <t>Канада</t>
        </is>
      </c>
      <c r="C469" s="11" t="inlineStr">
        <is>
          <t>PostLink</t>
        </is>
      </c>
      <c r="D469" s="11" t="inlineStr">
        <is>
          <t>PL24835363</t>
        </is>
      </c>
      <c r="E469" s="12" t="n">
        <v>46298</v>
      </c>
      <c r="F469" s="11" t="inlineStr">
        <is>
          <t>In transit</t>
        </is>
      </c>
      <c r="G469" s="13" t="n">
        <v>46306</v>
      </c>
      <c r="H469" s="5">
        <f>IF(G469="","",Rules!$B$1-G469)</f>
        <v/>
      </c>
      <c r="I469" s="5">
        <f>IF(F469="Address issue","address issue",IF(OR(F469="Delivered",F469="Returned to sender",G469=""),"",IF(AND(Rules!$B$3&lt;&gt;"",F469="Held at customs",H469&gt;=Rules!$B$3),"customs &gt;= "&amp;Rules!$B$3&amp;" days",IF(H469&gt;=Rules!$B$2,"idle &gt;= "&amp;Rules!$B$2&amp;" days",""))))</f>
        <v/>
      </c>
      <c r="J469" s="5">
        <f>IF(I469="","",IF(F469="Address issue",0,COUNTIF($I$2:$I$1001,"address issue"))+COUNTIFS($I$2:$I$1001,"?*",$F$2:$F$1001,IF(F469="Address issue","Address issue","&lt;&gt;Address issue"),$H$2:$H$1001,"&gt;"&amp;H469)+1)</f>
        <v/>
      </c>
    </row>
    <row r="470">
      <c r="A470" s="11" t="n">
        <v>100469</v>
      </c>
      <c r="B470" s="11" t="inlineStr">
        <is>
          <t>Канада</t>
        </is>
      </c>
      <c r="C470" s="11" t="inlineStr">
        <is>
          <t>PostLink</t>
        </is>
      </c>
      <c r="D470" s="11" t="inlineStr">
        <is>
          <t>PL48928411</t>
        </is>
      </c>
      <c r="E470" s="12" t="n">
        <v>46289</v>
      </c>
      <c r="F470" s="11" t="inlineStr">
        <is>
          <t>Delivered</t>
        </is>
      </c>
      <c r="G470" s="12" t="n">
        <v>46298</v>
      </c>
      <c r="H470" s="5">
        <f>IF(G470="","",Rules!$B$1-G470)</f>
        <v/>
      </c>
      <c r="I470" s="5">
        <f>IF(F470="Address issue","address issue",IF(OR(F470="Delivered",F470="Returned to sender",G470=""),"",IF(AND(Rules!$B$3&lt;&gt;"",F470="Held at customs",H470&gt;=Rules!$B$3),"customs &gt;= "&amp;Rules!$B$3&amp;" days",IF(H470&gt;=Rules!$B$2,"idle &gt;= "&amp;Rules!$B$2&amp;" days",""))))</f>
        <v/>
      </c>
      <c r="J470" s="5">
        <f>IF(I470="","",IF(F470="Address issue",0,COUNTIF($I$2:$I$1001,"address issue"))+COUNTIFS($I$2:$I$1001,"?*",$F$2:$F$1001,IF(F470="Address issue","Address issue","&lt;&gt;Address issue"),$H$2:$H$1001,"&gt;"&amp;H470)+1)</f>
        <v/>
      </c>
    </row>
    <row r="471">
      <c r="A471" s="11" t="n">
        <v>100470</v>
      </c>
      <c r="B471" s="11" t="inlineStr">
        <is>
          <t>Мексика</t>
        </is>
      </c>
      <c r="C471" s="11" t="inlineStr">
        <is>
          <t>AndesCargo</t>
        </is>
      </c>
      <c r="D471" s="11" t="inlineStr">
        <is>
          <t>AC67897156</t>
        </is>
      </c>
      <c r="E471" s="12" t="n">
        <v>46301</v>
      </c>
      <c r="F471" s="11" t="inlineStr">
        <is>
          <t>Out for delivery</t>
        </is>
      </c>
      <c r="G471" s="13" t="n">
        <v>46308</v>
      </c>
      <c r="H471" s="5">
        <f>IF(G471="","",Rules!$B$1-G471)</f>
        <v/>
      </c>
      <c r="I471" s="5">
        <f>IF(F471="Address issue","address issue",IF(OR(F471="Delivered",F471="Returned to sender",G471=""),"",IF(AND(Rules!$B$3&lt;&gt;"",F471="Held at customs",H471&gt;=Rules!$B$3),"customs &gt;= "&amp;Rules!$B$3&amp;" days",IF(H471&gt;=Rules!$B$2,"idle &gt;= "&amp;Rules!$B$2&amp;" days",""))))</f>
        <v/>
      </c>
      <c r="J471" s="5">
        <f>IF(I471="","",IF(F471="Address issue",0,COUNTIF($I$2:$I$1001,"address issue"))+COUNTIFS($I$2:$I$1001,"?*",$F$2:$F$1001,IF(F471="Address issue","Address issue","&lt;&gt;Address issue"),$H$2:$H$1001,"&gt;"&amp;H471)+1)</f>
        <v/>
      </c>
    </row>
    <row r="472">
      <c r="A472" s="11" t="n">
        <v>100471</v>
      </c>
      <c r="B472" s="11" t="inlineStr">
        <is>
          <t>Мексика</t>
        </is>
      </c>
      <c r="C472" s="11" t="inlineStr">
        <is>
          <t>SwiftParcel</t>
        </is>
      </c>
      <c r="D472" s="11" t="inlineStr">
        <is>
          <t>SP3530912</t>
        </is>
      </c>
      <c r="E472" s="13" t="n">
        <v>46305</v>
      </c>
      <c r="F472" s="11" t="inlineStr">
        <is>
          <t>In transit</t>
        </is>
      </c>
      <c r="G472" s="13" t="n">
        <v>46308</v>
      </c>
      <c r="H472" s="5">
        <f>IF(G472="","",Rules!$B$1-G472)</f>
        <v/>
      </c>
      <c r="I472" s="5">
        <f>IF(F472="Address issue","address issue",IF(OR(F472="Delivered",F472="Returned to sender",G472=""),"",IF(AND(Rules!$B$3&lt;&gt;"",F472="Held at customs",H472&gt;=Rules!$B$3),"customs &gt;= "&amp;Rules!$B$3&amp;" days",IF(H472&gt;=Rules!$B$2,"idle &gt;= "&amp;Rules!$B$2&amp;" days",""))))</f>
        <v/>
      </c>
      <c r="J472" s="5">
        <f>IF(I472="","",IF(F472="Address issue",0,COUNTIF($I$2:$I$1001,"address issue"))+COUNTIFS($I$2:$I$1001,"?*",$F$2:$F$1001,IF(F472="Address issue","Address issue","&lt;&gt;Address issue"),$H$2:$H$1001,"&gt;"&amp;H472)+1)</f>
        <v/>
      </c>
    </row>
    <row r="473">
      <c r="A473" s="11" t="n">
        <v>100472</v>
      </c>
      <c r="B473" s="11" t="inlineStr">
        <is>
          <t>Мексика</t>
        </is>
      </c>
      <c r="C473" s="11" t="inlineStr">
        <is>
          <t>SwiftParcel</t>
        </is>
      </c>
      <c r="D473" s="11" t="inlineStr">
        <is>
          <t>SP2128715</t>
        </is>
      </c>
      <c r="E473" s="12" t="n">
        <v>46290</v>
      </c>
      <c r="F473" s="11" t="inlineStr">
        <is>
          <t>Delivered</t>
        </is>
      </c>
      <c r="G473" s="12" t="n">
        <v>46299</v>
      </c>
      <c r="H473" s="5">
        <f>IF(G473="","",Rules!$B$1-G473)</f>
        <v/>
      </c>
      <c r="I473" s="5">
        <f>IF(F473="Address issue","address issue",IF(OR(F473="Delivered",F473="Returned to sender",G473=""),"",IF(AND(Rules!$B$3&lt;&gt;"",F473="Held at customs",H473&gt;=Rules!$B$3),"customs &gt;= "&amp;Rules!$B$3&amp;" days",IF(H473&gt;=Rules!$B$2,"idle &gt;= "&amp;Rules!$B$2&amp;" days",""))))</f>
        <v/>
      </c>
      <c r="J473" s="5">
        <f>IF(I473="","",IF(F473="Address issue",0,COUNTIF($I$2:$I$1001,"address issue"))+COUNTIFS($I$2:$I$1001,"?*",$F$2:$F$1001,IF(F473="Address issue","Address issue","&lt;&gt;Address issue"),$H$2:$H$1001,"&gt;"&amp;H473)+1)</f>
        <v/>
      </c>
    </row>
    <row r="474">
      <c r="A474" s="11" t="n">
        <v>100473</v>
      </c>
      <c r="B474" s="11" t="inlineStr">
        <is>
          <t>Канада</t>
        </is>
      </c>
      <c r="C474" s="11" t="inlineStr">
        <is>
          <t>PostLink</t>
        </is>
      </c>
      <c r="D474" s="11" t="inlineStr">
        <is>
          <t>PL93908523</t>
        </is>
      </c>
      <c r="E474" s="13" t="n">
        <v>46306</v>
      </c>
      <c r="F474" s="11" t="inlineStr">
        <is>
          <t>In transit</t>
        </is>
      </c>
      <c r="G474" s="13" t="n">
        <v>46309</v>
      </c>
      <c r="H474" s="5">
        <f>IF(G474="","",Rules!$B$1-G474)</f>
        <v/>
      </c>
      <c r="I474" s="5">
        <f>IF(F474="Address issue","address issue",IF(OR(F474="Delivered",F474="Returned to sender",G474=""),"",IF(AND(Rules!$B$3&lt;&gt;"",F474="Held at customs",H474&gt;=Rules!$B$3),"customs &gt;= "&amp;Rules!$B$3&amp;" days",IF(H474&gt;=Rules!$B$2,"idle &gt;= "&amp;Rules!$B$2&amp;" days",""))))</f>
        <v/>
      </c>
      <c r="J474" s="5">
        <f>IF(I474="","",IF(F474="Address issue",0,COUNTIF($I$2:$I$1001,"address issue"))+COUNTIFS($I$2:$I$1001,"?*",$F$2:$F$1001,IF(F474="Address issue","Address issue","&lt;&gt;Address issue"),$H$2:$H$1001,"&gt;"&amp;H474)+1)</f>
        <v/>
      </c>
    </row>
    <row r="475">
      <c r="A475" s="11" t="n">
        <v>100474</v>
      </c>
      <c r="B475" s="11" t="inlineStr">
        <is>
          <t>Мексика</t>
        </is>
      </c>
      <c r="C475" s="11" t="inlineStr">
        <is>
          <t>AndesCargo</t>
        </is>
      </c>
      <c r="D475" s="11" t="inlineStr">
        <is>
          <t>AC58112905</t>
        </is>
      </c>
      <c r="E475" s="12" t="n">
        <v>46274</v>
      </c>
      <c r="F475" s="11" t="inlineStr">
        <is>
          <t>Delivered</t>
        </is>
      </c>
      <c r="G475" s="12" t="n">
        <v>46280</v>
      </c>
      <c r="H475" s="5">
        <f>IF(G475="","",Rules!$B$1-G475)</f>
        <v/>
      </c>
      <c r="I475" s="5">
        <f>IF(F475="Address issue","address issue",IF(OR(F475="Delivered",F475="Returned to sender",G475=""),"",IF(AND(Rules!$B$3&lt;&gt;"",F475="Held at customs",H475&gt;=Rules!$B$3),"customs &gt;= "&amp;Rules!$B$3&amp;" days",IF(H475&gt;=Rules!$B$2,"idle &gt;= "&amp;Rules!$B$2&amp;" days",""))))</f>
        <v/>
      </c>
      <c r="J475" s="5">
        <f>IF(I475="","",IF(F475="Address issue",0,COUNTIF($I$2:$I$1001,"address issue"))+COUNTIFS($I$2:$I$1001,"?*",$F$2:$F$1001,IF(F475="Address issue","Address issue","&lt;&gt;Address issue"),$H$2:$H$1001,"&gt;"&amp;H475)+1)</f>
        <v/>
      </c>
    </row>
    <row r="476">
      <c r="A476" s="11" t="n">
        <v>100475</v>
      </c>
      <c r="B476" s="11" t="inlineStr">
        <is>
          <t>Мексика</t>
        </is>
      </c>
      <c r="C476" s="11" t="inlineStr">
        <is>
          <t>AndesCargo</t>
        </is>
      </c>
      <c r="D476" s="11" t="inlineStr">
        <is>
          <t>AC37287837</t>
        </is>
      </c>
      <c r="E476" s="12" t="n">
        <v>46295</v>
      </c>
      <c r="F476" s="11" t="inlineStr">
        <is>
          <t>Held at customs</t>
        </is>
      </c>
      <c r="G476" s="12" t="n">
        <v>46298</v>
      </c>
      <c r="H476" s="5">
        <f>IF(G476="","",Rules!$B$1-G476)</f>
        <v/>
      </c>
      <c r="I476" s="5">
        <f>IF(F476="Address issue","address issue",IF(OR(F476="Delivered",F476="Returned to sender",G476=""),"",IF(AND(Rules!$B$3&lt;&gt;"",F476="Held at customs",H476&gt;=Rules!$B$3),"customs &gt;= "&amp;Rules!$B$3&amp;" days",IF(H476&gt;=Rules!$B$2,"idle &gt;= "&amp;Rules!$B$2&amp;" days",""))))</f>
        <v/>
      </c>
      <c r="J476" s="5">
        <f>IF(I476="","",IF(F476="Address issue",0,COUNTIF($I$2:$I$1001,"address issue"))+COUNTIFS($I$2:$I$1001,"?*",$F$2:$F$1001,IF(F476="Address issue","Address issue","&lt;&gt;Address issue"),$H$2:$H$1001,"&gt;"&amp;H476)+1)</f>
        <v/>
      </c>
    </row>
    <row r="477">
      <c r="A477" s="11" t="n">
        <v>100476</v>
      </c>
      <c r="B477" s="11" t="inlineStr">
        <is>
          <t>Бразилія</t>
        </is>
      </c>
      <c r="C477" s="11" t="inlineStr">
        <is>
          <t>SwiftParcel</t>
        </is>
      </c>
      <c r="D477" s="11" t="inlineStr">
        <is>
          <t>SP8142771</t>
        </is>
      </c>
      <c r="E477" s="12" t="n">
        <v>46300</v>
      </c>
      <c r="F477" s="11" t="inlineStr">
        <is>
          <t>Held at customs</t>
        </is>
      </c>
      <c r="G477" s="13" t="n">
        <v>46307</v>
      </c>
      <c r="H477" s="5">
        <f>IF(G477="","",Rules!$B$1-G477)</f>
        <v/>
      </c>
      <c r="I477" s="5">
        <f>IF(F477="Address issue","address issue",IF(OR(F477="Delivered",F477="Returned to sender",G477=""),"",IF(AND(Rules!$B$3&lt;&gt;"",F477="Held at customs",H477&gt;=Rules!$B$3),"customs &gt;= "&amp;Rules!$B$3&amp;" days",IF(H477&gt;=Rules!$B$2,"idle &gt;= "&amp;Rules!$B$2&amp;" days",""))))</f>
        <v/>
      </c>
      <c r="J477" s="5">
        <f>IF(I477="","",IF(F477="Address issue",0,COUNTIF($I$2:$I$1001,"address issue"))+COUNTIFS($I$2:$I$1001,"?*",$F$2:$F$1001,IF(F477="Address issue","Address issue","&lt;&gt;Address issue"),$H$2:$H$1001,"&gt;"&amp;H477)+1)</f>
        <v/>
      </c>
    </row>
    <row r="478">
      <c r="A478" s="11" t="n">
        <v>100477</v>
      </c>
      <c r="B478" s="11" t="inlineStr">
        <is>
          <t>Бразилія</t>
        </is>
      </c>
      <c r="C478" s="11" t="inlineStr">
        <is>
          <t>SwiftParcel</t>
        </is>
      </c>
      <c r="D478" s="11" t="inlineStr">
        <is>
          <t>SP7176078</t>
        </is>
      </c>
      <c r="E478" s="12" t="n">
        <v>46301</v>
      </c>
      <c r="F478" s="11" t="inlineStr">
        <is>
          <t>In transit</t>
        </is>
      </c>
      <c r="G478" s="12" t="n">
        <v>46302</v>
      </c>
      <c r="H478" s="5">
        <f>IF(G478="","",Rules!$B$1-G478)</f>
        <v/>
      </c>
      <c r="I478" s="5">
        <f>IF(F478="Address issue","address issue",IF(OR(F478="Delivered",F478="Returned to sender",G478=""),"",IF(AND(Rules!$B$3&lt;&gt;"",F478="Held at customs",H478&gt;=Rules!$B$3),"customs &gt;= "&amp;Rules!$B$3&amp;" days",IF(H478&gt;=Rules!$B$2,"idle &gt;= "&amp;Rules!$B$2&amp;" days",""))))</f>
        <v/>
      </c>
      <c r="J478" s="5">
        <f>IF(I478="","",IF(F478="Address issue",0,COUNTIF($I$2:$I$1001,"address issue"))+COUNTIFS($I$2:$I$1001,"?*",$F$2:$F$1001,IF(F478="Address issue","Address issue","&lt;&gt;Address issue"),$H$2:$H$1001,"&gt;"&amp;H478)+1)</f>
        <v/>
      </c>
    </row>
    <row r="479">
      <c r="A479" s="11" t="n">
        <v>100478</v>
      </c>
      <c r="B479" s="11" t="inlineStr">
        <is>
          <t>Мексика</t>
        </is>
      </c>
      <c r="C479" s="11" t="inlineStr">
        <is>
          <t>AndesCargo</t>
        </is>
      </c>
      <c r="D479" s="11" t="inlineStr">
        <is>
          <t>AC78472036</t>
        </is>
      </c>
      <c r="E479" s="12" t="n">
        <v>46288</v>
      </c>
      <c r="F479" s="11" t="inlineStr">
        <is>
          <t>Delivered</t>
        </is>
      </c>
      <c r="G479" s="12" t="n">
        <v>46298</v>
      </c>
      <c r="H479" s="5">
        <f>IF(G479="","",Rules!$B$1-G479)</f>
        <v/>
      </c>
      <c r="I479" s="5">
        <f>IF(F479="Address issue","address issue",IF(OR(F479="Delivered",F479="Returned to sender",G479=""),"",IF(AND(Rules!$B$3&lt;&gt;"",F479="Held at customs",H479&gt;=Rules!$B$3),"customs &gt;= "&amp;Rules!$B$3&amp;" days",IF(H479&gt;=Rules!$B$2,"idle &gt;= "&amp;Rules!$B$2&amp;" days",""))))</f>
        <v/>
      </c>
      <c r="J479" s="5">
        <f>IF(I479="","",IF(F479="Address issue",0,COUNTIF($I$2:$I$1001,"address issue"))+COUNTIFS($I$2:$I$1001,"?*",$F$2:$F$1001,IF(F479="Address issue","Address issue","&lt;&gt;Address issue"),$H$2:$H$1001,"&gt;"&amp;H479)+1)</f>
        <v/>
      </c>
    </row>
    <row r="480">
      <c r="A480" s="11" t="n">
        <v>100479</v>
      </c>
      <c r="B480" s="11" t="inlineStr">
        <is>
          <t>Канада</t>
        </is>
      </c>
      <c r="C480" s="11" t="inlineStr">
        <is>
          <t>PostLink</t>
        </is>
      </c>
      <c r="D480" s="11" t="inlineStr">
        <is>
          <t>PL74688601</t>
        </is>
      </c>
      <c r="E480" s="12" t="n">
        <v>46275</v>
      </c>
      <c r="F480" s="11" t="inlineStr">
        <is>
          <t>Delivered</t>
        </is>
      </c>
      <c r="G480" s="12" t="n">
        <v>46283</v>
      </c>
      <c r="H480" s="5">
        <f>IF(G480="","",Rules!$B$1-G480)</f>
        <v/>
      </c>
      <c r="I480" s="5">
        <f>IF(F480="Address issue","address issue",IF(OR(F480="Delivered",F480="Returned to sender",G480=""),"",IF(AND(Rules!$B$3&lt;&gt;"",F480="Held at customs",H480&gt;=Rules!$B$3),"customs &gt;= "&amp;Rules!$B$3&amp;" days",IF(H480&gt;=Rules!$B$2,"idle &gt;= "&amp;Rules!$B$2&amp;" days",""))))</f>
        <v/>
      </c>
      <c r="J480" s="5">
        <f>IF(I480="","",IF(F480="Address issue",0,COUNTIF($I$2:$I$1001,"address issue"))+COUNTIFS($I$2:$I$1001,"?*",$F$2:$F$1001,IF(F480="Address issue","Address issue","&lt;&gt;Address issue"),$H$2:$H$1001,"&gt;"&amp;H480)+1)</f>
        <v/>
      </c>
    </row>
    <row r="481">
      <c r="A481" s="11" t="n">
        <v>100480</v>
      </c>
      <c r="B481" s="11" t="inlineStr">
        <is>
          <t>Канада</t>
        </is>
      </c>
      <c r="C481" s="11" t="inlineStr">
        <is>
          <t>PostLink</t>
        </is>
      </c>
      <c r="D481" s="11" t="inlineStr">
        <is>
          <t>PL28689697</t>
        </is>
      </c>
      <c r="E481" s="12" t="n">
        <v>46288</v>
      </c>
      <c r="F481" s="11" t="inlineStr">
        <is>
          <t>Delivered</t>
        </is>
      </c>
      <c r="G481" s="12" t="n">
        <v>46291</v>
      </c>
      <c r="H481" s="5">
        <f>IF(G481="","",Rules!$B$1-G481)</f>
        <v/>
      </c>
      <c r="I481" s="5">
        <f>IF(F481="Address issue","address issue",IF(OR(F481="Delivered",F481="Returned to sender",G481=""),"",IF(AND(Rules!$B$3&lt;&gt;"",F481="Held at customs",H481&gt;=Rules!$B$3),"customs &gt;= "&amp;Rules!$B$3&amp;" days",IF(H481&gt;=Rules!$B$2,"idle &gt;= "&amp;Rules!$B$2&amp;" days",""))))</f>
        <v/>
      </c>
      <c r="J481" s="5">
        <f>IF(I481="","",IF(F481="Address issue",0,COUNTIF($I$2:$I$1001,"address issue"))+COUNTIFS($I$2:$I$1001,"?*",$F$2:$F$1001,IF(F481="Address issue","Address issue","&lt;&gt;Address issue"),$H$2:$H$1001,"&gt;"&amp;H481)+1)</f>
        <v/>
      </c>
    </row>
    <row r="482">
      <c r="A482" s="11" t="n">
        <v>100481</v>
      </c>
      <c r="B482" s="11" t="inlineStr">
        <is>
          <t>Мексика</t>
        </is>
      </c>
      <c r="C482" s="11" t="inlineStr">
        <is>
          <t>SwiftParcel</t>
        </is>
      </c>
      <c r="D482" s="11" t="inlineStr">
        <is>
          <t>SP1136935</t>
        </is>
      </c>
      <c r="E482" s="13" t="n">
        <v>46307</v>
      </c>
      <c r="F482" s="11" t="inlineStr">
        <is>
          <t>In transit</t>
        </is>
      </c>
      <c r="G482" s="13" t="n">
        <v>46309</v>
      </c>
      <c r="H482" s="5">
        <f>IF(G482="","",Rules!$B$1-G482)</f>
        <v/>
      </c>
      <c r="I482" s="5">
        <f>IF(F482="Address issue","address issue",IF(OR(F482="Delivered",F482="Returned to sender",G482=""),"",IF(AND(Rules!$B$3&lt;&gt;"",F482="Held at customs",H482&gt;=Rules!$B$3),"customs &gt;= "&amp;Rules!$B$3&amp;" days",IF(H482&gt;=Rules!$B$2,"idle &gt;= "&amp;Rules!$B$2&amp;" days",""))))</f>
        <v/>
      </c>
      <c r="J482" s="5">
        <f>IF(I482="","",IF(F482="Address issue",0,COUNTIF($I$2:$I$1001,"address issue"))+COUNTIFS($I$2:$I$1001,"?*",$F$2:$F$1001,IF(F482="Address issue","Address issue","&lt;&gt;Address issue"),$H$2:$H$1001,"&gt;"&amp;H482)+1)</f>
        <v/>
      </c>
    </row>
    <row r="483">
      <c r="A483" s="11" t="n">
        <v>100482</v>
      </c>
      <c r="B483" s="11" t="inlineStr">
        <is>
          <t>Бразилія</t>
        </is>
      </c>
      <c r="C483" s="11" t="inlineStr">
        <is>
          <t>SwiftParcel</t>
        </is>
      </c>
      <c r="D483" s="11" t="inlineStr">
        <is>
          <t>SP7748759</t>
        </is>
      </c>
      <c r="E483" s="12" t="n">
        <v>46294</v>
      </c>
      <c r="F483" s="11" t="inlineStr">
        <is>
          <t>Delivered</t>
        </is>
      </c>
      <c r="G483" s="12" t="n">
        <v>46304</v>
      </c>
      <c r="H483" s="5">
        <f>IF(G483="","",Rules!$B$1-G483)</f>
        <v/>
      </c>
      <c r="I483" s="5">
        <f>IF(F483="Address issue","address issue",IF(OR(F483="Delivered",F483="Returned to sender",G483=""),"",IF(AND(Rules!$B$3&lt;&gt;"",F483="Held at customs",H483&gt;=Rules!$B$3),"customs &gt;= "&amp;Rules!$B$3&amp;" days",IF(H483&gt;=Rules!$B$2,"idle &gt;= "&amp;Rules!$B$2&amp;" days",""))))</f>
        <v/>
      </c>
      <c r="J483" s="5">
        <f>IF(I483="","",IF(F483="Address issue",0,COUNTIF($I$2:$I$1001,"address issue"))+COUNTIFS($I$2:$I$1001,"?*",$F$2:$F$1001,IF(F483="Address issue","Address issue","&lt;&gt;Address issue"),$H$2:$H$1001,"&gt;"&amp;H483)+1)</f>
        <v/>
      </c>
    </row>
    <row r="484">
      <c r="A484" s="11" t="n">
        <v>100483</v>
      </c>
      <c r="B484" s="11" t="inlineStr">
        <is>
          <t>Мексика</t>
        </is>
      </c>
      <c r="C484" s="11" t="inlineStr">
        <is>
          <t>AndesCargo</t>
        </is>
      </c>
      <c r="D484" s="11" t="inlineStr">
        <is>
          <t>AC84732424</t>
        </is>
      </c>
      <c r="E484" s="12" t="n">
        <v>46281</v>
      </c>
      <c r="F484" s="11" t="inlineStr">
        <is>
          <t>Delivered</t>
        </is>
      </c>
      <c r="G484" s="12" t="n">
        <v>46288</v>
      </c>
      <c r="H484" s="5">
        <f>IF(G484="","",Rules!$B$1-G484)</f>
        <v/>
      </c>
      <c r="I484" s="5">
        <f>IF(F484="Address issue","address issue",IF(OR(F484="Delivered",F484="Returned to sender",G484=""),"",IF(AND(Rules!$B$3&lt;&gt;"",F484="Held at customs",H484&gt;=Rules!$B$3),"customs &gt;= "&amp;Rules!$B$3&amp;" days",IF(H484&gt;=Rules!$B$2,"idle &gt;= "&amp;Rules!$B$2&amp;" days",""))))</f>
        <v/>
      </c>
      <c r="J484" s="5">
        <f>IF(I484="","",IF(F484="Address issue",0,COUNTIF($I$2:$I$1001,"address issue"))+COUNTIFS($I$2:$I$1001,"?*",$F$2:$F$1001,IF(F484="Address issue","Address issue","&lt;&gt;Address issue"),$H$2:$H$1001,"&gt;"&amp;H484)+1)</f>
        <v/>
      </c>
    </row>
    <row r="485">
      <c r="A485" s="11" t="n">
        <v>100484</v>
      </c>
      <c r="B485" s="11" t="inlineStr">
        <is>
          <t>Бразилія</t>
        </is>
      </c>
      <c r="C485" s="11" t="inlineStr">
        <is>
          <t>SwiftParcel</t>
        </is>
      </c>
      <c r="D485" s="11" t="inlineStr">
        <is>
          <t>SP5050220</t>
        </is>
      </c>
      <c r="E485" s="12" t="n">
        <v>46288</v>
      </c>
      <c r="F485" s="11" t="inlineStr">
        <is>
          <t>Delivered</t>
        </is>
      </c>
      <c r="G485" s="12" t="n">
        <v>46298</v>
      </c>
      <c r="H485" s="5">
        <f>IF(G485="","",Rules!$B$1-G485)</f>
        <v/>
      </c>
      <c r="I485" s="5">
        <f>IF(F485="Address issue","address issue",IF(OR(F485="Delivered",F485="Returned to sender",G485=""),"",IF(AND(Rules!$B$3&lt;&gt;"",F485="Held at customs",H485&gt;=Rules!$B$3),"customs &gt;= "&amp;Rules!$B$3&amp;" days",IF(H485&gt;=Rules!$B$2,"idle &gt;= "&amp;Rules!$B$2&amp;" days",""))))</f>
        <v/>
      </c>
      <c r="J485" s="5">
        <f>IF(I485="","",IF(F485="Address issue",0,COUNTIF($I$2:$I$1001,"address issue"))+COUNTIFS($I$2:$I$1001,"?*",$F$2:$F$1001,IF(F485="Address issue","Address issue","&lt;&gt;Address issue"),$H$2:$H$1001,"&gt;"&amp;H485)+1)</f>
        <v/>
      </c>
    </row>
    <row r="486">
      <c r="A486" s="11" t="n">
        <v>100485</v>
      </c>
      <c r="B486" s="11" t="inlineStr">
        <is>
          <t>Мексика</t>
        </is>
      </c>
      <c r="C486" s="11" t="inlineStr">
        <is>
          <t>AndesCargo</t>
        </is>
      </c>
      <c r="D486" s="11" t="inlineStr">
        <is>
          <t>AC94480814</t>
        </is>
      </c>
      <c r="E486" s="12" t="n">
        <v>46293</v>
      </c>
      <c r="F486" s="11" t="inlineStr">
        <is>
          <t>In transit</t>
        </is>
      </c>
      <c r="G486" s="12" t="n">
        <v>46294</v>
      </c>
      <c r="H486" s="5">
        <f>IF(G486="","",Rules!$B$1-G486)</f>
        <v/>
      </c>
      <c r="I486" s="5">
        <f>IF(F486="Address issue","address issue",IF(OR(F486="Delivered",F486="Returned to sender",G486=""),"",IF(AND(Rules!$B$3&lt;&gt;"",F486="Held at customs",H486&gt;=Rules!$B$3),"customs &gt;= "&amp;Rules!$B$3&amp;" days",IF(H486&gt;=Rules!$B$2,"idle &gt;= "&amp;Rules!$B$2&amp;" days",""))))</f>
        <v/>
      </c>
      <c r="J486" s="5">
        <f>IF(I486="","",IF(F486="Address issue",0,COUNTIF($I$2:$I$1001,"address issue"))+COUNTIFS($I$2:$I$1001,"?*",$F$2:$F$1001,IF(F486="Address issue","Address issue","&lt;&gt;Address issue"),$H$2:$H$1001,"&gt;"&amp;H486)+1)</f>
        <v/>
      </c>
    </row>
    <row r="487">
      <c r="A487" s="11" t="n">
        <v>100486</v>
      </c>
      <c r="B487" s="11" t="inlineStr">
        <is>
          <t>Мексика</t>
        </is>
      </c>
      <c r="C487" s="11" t="inlineStr">
        <is>
          <t>SwiftParcel</t>
        </is>
      </c>
      <c r="D487" s="11" t="inlineStr">
        <is>
          <t>SP8367163</t>
        </is>
      </c>
      <c r="E487" s="12" t="n">
        <v>46290</v>
      </c>
      <c r="F487" s="11" t="inlineStr">
        <is>
          <t>In transit</t>
        </is>
      </c>
      <c r="G487" s="12" t="n">
        <v>46291</v>
      </c>
      <c r="H487" s="5">
        <f>IF(G487="","",Rules!$B$1-G487)</f>
        <v/>
      </c>
      <c r="I487" s="5">
        <f>IF(F487="Address issue","address issue",IF(OR(F487="Delivered",F487="Returned to sender",G487=""),"",IF(AND(Rules!$B$3&lt;&gt;"",F487="Held at customs",H487&gt;=Rules!$B$3),"customs &gt;= "&amp;Rules!$B$3&amp;" days",IF(H487&gt;=Rules!$B$2,"idle &gt;= "&amp;Rules!$B$2&amp;" days",""))))</f>
        <v/>
      </c>
      <c r="J487" s="5">
        <f>IF(I487="","",IF(F487="Address issue",0,COUNTIF($I$2:$I$1001,"address issue"))+COUNTIFS($I$2:$I$1001,"?*",$F$2:$F$1001,IF(F487="Address issue","Address issue","&lt;&gt;Address issue"),$H$2:$H$1001,"&gt;"&amp;H487)+1)</f>
        <v/>
      </c>
    </row>
    <row r="488">
      <c r="A488" s="11" t="n">
        <v>100487</v>
      </c>
      <c r="B488" s="11" t="inlineStr">
        <is>
          <t>Канада</t>
        </is>
      </c>
      <c r="C488" s="11" t="inlineStr">
        <is>
          <t>PostLink</t>
        </is>
      </c>
      <c r="D488" s="11" t="inlineStr">
        <is>
          <t>PL62618053</t>
        </is>
      </c>
      <c r="E488" s="12" t="n">
        <v>46285</v>
      </c>
      <c r="F488" s="11" t="inlineStr">
        <is>
          <t>Delivered</t>
        </is>
      </c>
      <c r="G488" s="12" t="n">
        <v>46293</v>
      </c>
      <c r="H488" s="5">
        <f>IF(G488="","",Rules!$B$1-G488)</f>
        <v/>
      </c>
      <c r="I488" s="5">
        <f>IF(F488="Address issue","address issue",IF(OR(F488="Delivered",F488="Returned to sender",G488=""),"",IF(AND(Rules!$B$3&lt;&gt;"",F488="Held at customs",H488&gt;=Rules!$B$3),"customs &gt;= "&amp;Rules!$B$3&amp;" days",IF(H488&gt;=Rules!$B$2,"idle &gt;= "&amp;Rules!$B$2&amp;" days",""))))</f>
        <v/>
      </c>
      <c r="J488" s="5">
        <f>IF(I488="","",IF(F488="Address issue",0,COUNTIF($I$2:$I$1001,"address issue"))+COUNTIFS($I$2:$I$1001,"?*",$F$2:$F$1001,IF(F488="Address issue","Address issue","&lt;&gt;Address issue"),$H$2:$H$1001,"&gt;"&amp;H488)+1)</f>
        <v/>
      </c>
    </row>
    <row r="489">
      <c r="A489" s="11" t="n">
        <v>100488</v>
      </c>
      <c r="B489" s="11" t="inlineStr">
        <is>
          <t>Канада</t>
        </is>
      </c>
      <c r="C489" s="11" t="inlineStr">
        <is>
          <t>PostLink</t>
        </is>
      </c>
      <c r="D489" s="11" t="inlineStr">
        <is>
          <t>PL97336887</t>
        </is>
      </c>
      <c r="E489" s="12" t="n">
        <v>46282</v>
      </c>
      <c r="F489" s="11" t="inlineStr">
        <is>
          <t>In transit</t>
        </is>
      </c>
      <c r="G489" s="12" t="n">
        <v>46290</v>
      </c>
      <c r="H489" s="5">
        <f>IF(G489="","",Rules!$B$1-G489)</f>
        <v/>
      </c>
      <c r="I489" s="5">
        <f>IF(F489="Address issue","address issue",IF(OR(F489="Delivered",F489="Returned to sender",G489=""),"",IF(AND(Rules!$B$3&lt;&gt;"",F489="Held at customs",H489&gt;=Rules!$B$3),"customs &gt;= "&amp;Rules!$B$3&amp;" days",IF(H489&gt;=Rules!$B$2,"idle &gt;= "&amp;Rules!$B$2&amp;" days",""))))</f>
        <v/>
      </c>
      <c r="J489" s="5">
        <f>IF(I489="","",IF(F489="Address issue",0,COUNTIF($I$2:$I$1001,"address issue"))+COUNTIFS($I$2:$I$1001,"?*",$F$2:$F$1001,IF(F489="Address issue","Address issue","&lt;&gt;Address issue"),$H$2:$H$1001,"&gt;"&amp;H489)+1)</f>
        <v/>
      </c>
    </row>
    <row r="490">
      <c r="A490" s="11" t="n">
        <v>100489</v>
      </c>
      <c r="B490" s="11" t="inlineStr">
        <is>
          <t>Бразилія</t>
        </is>
      </c>
      <c r="C490" s="11" t="inlineStr">
        <is>
          <t>SwiftParcel</t>
        </is>
      </c>
      <c r="D490" s="11" t="inlineStr">
        <is>
          <t>SP1293719</t>
        </is>
      </c>
      <c r="E490" s="12" t="n">
        <v>46295</v>
      </c>
      <c r="F490" s="11" t="inlineStr">
        <is>
          <t>Delivered</t>
        </is>
      </c>
      <c r="G490" s="13" t="n">
        <v>46307</v>
      </c>
      <c r="H490" s="5">
        <f>IF(G490="","",Rules!$B$1-G490)</f>
        <v/>
      </c>
      <c r="I490" s="5">
        <f>IF(F490="Address issue","address issue",IF(OR(F490="Delivered",F490="Returned to sender",G490=""),"",IF(AND(Rules!$B$3&lt;&gt;"",F490="Held at customs",H490&gt;=Rules!$B$3),"customs &gt;= "&amp;Rules!$B$3&amp;" days",IF(H490&gt;=Rules!$B$2,"idle &gt;= "&amp;Rules!$B$2&amp;" days",""))))</f>
        <v/>
      </c>
      <c r="J490" s="5">
        <f>IF(I490="","",IF(F490="Address issue",0,COUNTIF($I$2:$I$1001,"address issue"))+COUNTIFS($I$2:$I$1001,"?*",$F$2:$F$1001,IF(F490="Address issue","Address issue","&lt;&gt;Address issue"),$H$2:$H$1001,"&gt;"&amp;H490)+1)</f>
        <v/>
      </c>
    </row>
    <row r="491">
      <c r="A491" s="11" t="n">
        <v>100490</v>
      </c>
      <c r="B491" s="11" t="inlineStr">
        <is>
          <t>Канада</t>
        </is>
      </c>
      <c r="C491" s="11" t="inlineStr">
        <is>
          <t>PostLink</t>
        </is>
      </c>
      <c r="D491" s="11" t="inlineStr">
        <is>
          <t>PL33565722</t>
        </is>
      </c>
      <c r="E491" s="12" t="n">
        <v>46301</v>
      </c>
      <c r="F491" s="11" t="inlineStr">
        <is>
          <t>Out for delivery</t>
        </is>
      </c>
      <c r="G491" s="13" t="n">
        <v>46307</v>
      </c>
      <c r="H491" s="5">
        <f>IF(G491="","",Rules!$B$1-G491)</f>
        <v/>
      </c>
      <c r="I491" s="5">
        <f>IF(F491="Address issue","address issue",IF(OR(F491="Delivered",F491="Returned to sender",G491=""),"",IF(AND(Rules!$B$3&lt;&gt;"",F491="Held at customs",H491&gt;=Rules!$B$3),"customs &gt;= "&amp;Rules!$B$3&amp;" days",IF(H491&gt;=Rules!$B$2,"idle &gt;= "&amp;Rules!$B$2&amp;" days",""))))</f>
        <v/>
      </c>
      <c r="J491" s="5">
        <f>IF(I491="","",IF(F491="Address issue",0,COUNTIF($I$2:$I$1001,"address issue"))+COUNTIFS($I$2:$I$1001,"?*",$F$2:$F$1001,IF(F491="Address issue","Address issue","&lt;&gt;Address issue"),$H$2:$H$1001,"&gt;"&amp;H491)+1)</f>
        <v/>
      </c>
    </row>
    <row r="492">
      <c r="A492" s="11" t="n">
        <v>100491</v>
      </c>
      <c r="B492" s="11" t="inlineStr">
        <is>
          <t>Бразилія</t>
        </is>
      </c>
      <c r="C492" s="11" t="inlineStr">
        <is>
          <t>SwiftParcel</t>
        </is>
      </c>
      <c r="D492" s="11" t="inlineStr">
        <is>
          <t>SP9664203</t>
        </is>
      </c>
      <c r="E492" s="12" t="n">
        <v>46274</v>
      </c>
      <c r="F492" s="11" t="inlineStr">
        <is>
          <t>Delivered</t>
        </is>
      </c>
      <c r="G492" s="12" t="n">
        <v>46281</v>
      </c>
      <c r="H492" s="5">
        <f>IF(G492="","",Rules!$B$1-G492)</f>
        <v/>
      </c>
      <c r="I492" s="5">
        <f>IF(F492="Address issue","address issue",IF(OR(F492="Delivered",F492="Returned to sender",G492=""),"",IF(AND(Rules!$B$3&lt;&gt;"",F492="Held at customs",H492&gt;=Rules!$B$3),"customs &gt;= "&amp;Rules!$B$3&amp;" days",IF(H492&gt;=Rules!$B$2,"idle &gt;= "&amp;Rules!$B$2&amp;" days",""))))</f>
        <v/>
      </c>
      <c r="J492" s="5">
        <f>IF(I492="","",IF(F492="Address issue",0,COUNTIF($I$2:$I$1001,"address issue"))+COUNTIFS($I$2:$I$1001,"?*",$F$2:$F$1001,IF(F492="Address issue","Address issue","&lt;&gt;Address issue"),$H$2:$H$1001,"&gt;"&amp;H492)+1)</f>
        <v/>
      </c>
    </row>
    <row r="493">
      <c r="A493" s="11" t="n">
        <v>100492</v>
      </c>
      <c r="B493" s="11" t="inlineStr">
        <is>
          <t>Канада</t>
        </is>
      </c>
      <c r="C493" s="11" t="inlineStr">
        <is>
          <t>PostLink</t>
        </is>
      </c>
      <c r="D493" s="11" t="inlineStr">
        <is>
          <t>PL86540403</t>
        </is>
      </c>
      <c r="E493" s="12" t="n">
        <v>46285</v>
      </c>
      <c r="F493" s="11" t="inlineStr">
        <is>
          <t>Delivered</t>
        </is>
      </c>
      <c r="G493" s="12" t="n">
        <v>46290</v>
      </c>
      <c r="H493" s="5">
        <f>IF(G493="","",Rules!$B$1-G493)</f>
        <v/>
      </c>
      <c r="I493" s="5">
        <f>IF(F493="Address issue","address issue",IF(OR(F493="Delivered",F493="Returned to sender",G493=""),"",IF(AND(Rules!$B$3&lt;&gt;"",F493="Held at customs",H493&gt;=Rules!$B$3),"customs &gt;= "&amp;Rules!$B$3&amp;" days",IF(H493&gt;=Rules!$B$2,"idle &gt;= "&amp;Rules!$B$2&amp;" days",""))))</f>
        <v/>
      </c>
      <c r="J493" s="5">
        <f>IF(I493="","",IF(F493="Address issue",0,COUNTIF($I$2:$I$1001,"address issue"))+COUNTIFS($I$2:$I$1001,"?*",$F$2:$F$1001,IF(F493="Address issue","Address issue","&lt;&gt;Address issue"),$H$2:$H$1001,"&gt;"&amp;H493)+1)</f>
        <v/>
      </c>
    </row>
    <row r="494">
      <c r="A494" s="11" t="n">
        <v>100493</v>
      </c>
      <c r="B494" s="11" t="inlineStr">
        <is>
          <t>Бразилія</t>
        </is>
      </c>
      <c r="C494" s="11" t="inlineStr">
        <is>
          <t>SwiftParcel</t>
        </is>
      </c>
      <c r="D494" s="11" t="inlineStr">
        <is>
          <t>SP5300251</t>
        </is>
      </c>
      <c r="E494" s="12" t="n">
        <v>46273</v>
      </c>
      <c r="F494" s="11" t="inlineStr">
        <is>
          <t>Delivered</t>
        </is>
      </c>
      <c r="G494" s="12" t="n">
        <v>46285</v>
      </c>
      <c r="H494" s="5">
        <f>IF(G494="","",Rules!$B$1-G494)</f>
        <v/>
      </c>
      <c r="I494" s="5">
        <f>IF(F494="Address issue","address issue",IF(OR(F494="Delivered",F494="Returned to sender",G494=""),"",IF(AND(Rules!$B$3&lt;&gt;"",F494="Held at customs",H494&gt;=Rules!$B$3),"customs &gt;= "&amp;Rules!$B$3&amp;" days",IF(H494&gt;=Rules!$B$2,"idle &gt;= "&amp;Rules!$B$2&amp;" days",""))))</f>
        <v/>
      </c>
      <c r="J494" s="5">
        <f>IF(I494="","",IF(F494="Address issue",0,COUNTIF($I$2:$I$1001,"address issue"))+COUNTIFS($I$2:$I$1001,"?*",$F$2:$F$1001,IF(F494="Address issue","Address issue","&lt;&gt;Address issue"),$H$2:$H$1001,"&gt;"&amp;H494)+1)</f>
        <v/>
      </c>
    </row>
    <row r="495">
      <c r="A495" s="11" t="n">
        <v>100494</v>
      </c>
      <c r="B495" s="11" t="inlineStr">
        <is>
          <t>Мексика</t>
        </is>
      </c>
      <c r="C495" s="11" t="inlineStr">
        <is>
          <t>AndesCargo</t>
        </is>
      </c>
      <c r="D495" s="11" t="inlineStr">
        <is>
          <t>AC82355409</t>
        </is>
      </c>
      <c r="E495" s="12" t="n">
        <v>46273</v>
      </c>
      <c r="F495" s="11" t="inlineStr">
        <is>
          <t>Delivered</t>
        </is>
      </c>
      <c r="G495" s="12" t="n">
        <v>46282</v>
      </c>
      <c r="H495" s="5">
        <f>IF(G495="","",Rules!$B$1-G495)</f>
        <v/>
      </c>
      <c r="I495" s="5">
        <f>IF(F495="Address issue","address issue",IF(OR(F495="Delivered",F495="Returned to sender",G495=""),"",IF(AND(Rules!$B$3&lt;&gt;"",F495="Held at customs",H495&gt;=Rules!$B$3),"customs &gt;= "&amp;Rules!$B$3&amp;" days",IF(H495&gt;=Rules!$B$2,"idle &gt;= "&amp;Rules!$B$2&amp;" days",""))))</f>
        <v/>
      </c>
      <c r="J495" s="5">
        <f>IF(I495="","",IF(F495="Address issue",0,COUNTIF($I$2:$I$1001,"address issue"))+COUNTIFS($I$2:$I$1001,"?*",$F$2:$F$1001,IF(F495="Address issue","Address issue","&lt;&gt;Address issue"),$H$2:$H$1001,"&gt;"&amp;H495)+1)</f>
        <v/>
      </c>
    </row>
    <row r="496">
      <c r="A496" s="11" t="n">
        <v>100495</v>
      </c>
      <c r="B496" s="11" t="inlineStr">
        <is>
          <t>Канада</t>
        </is>
      </c>
      <c r="C496" s="11" t="inlineStr">
        <is>
          <t>PostLink</t>
        </is>
      </c>
      <c r="D496" s="11" t="inlineStr">
        <is>
          <t>PL32869319</t>
        </is>
      </c>
      <c r="E496" s="12" t="n">
        <v>46298</v>
      </c>
      <c r="F496" s="11" t="inlineStr">
        <is>
          <t>Delivered</t>
        </is>
      </c>
      <c r="G496" s="13" t="n">
        <v>46306</v>
      </c>
      <c r="H496" s="5">
        <f>IF(G496="","",Rules!$B$1-G496)</f>
        <v/>
      </c>
      <c r="I496" s="5">
        <f>IF(F496="Address issue","address issue",IF(OR(F496="Delivered",F496="Returned to sender",G496=""),"",IF(AND(Rules!$B$3&lt;&gt;"",F496="Held at customs",H496&gt;=Rules!$B$3),"customs &gt;= "&amp;Rules!$B$3&amp;" days",IF(H496&gt;=Rules!$B$2,"idle &gt;= "&amp;Rules!$B$2&amp;" days",""))))</f>
        <v/>
      </c>
      <c r="J496" s="5">
        <f>IF(I496="","",IF(F496="Address issue",0,COUNTIF($I$2:$I$1001,"address issue"))+COUNTIFS($I$2:$I$1001,"?*",$F$2:$F$1001,IF(F496="Address issue","Address issue","&lt;&gt;Address issue"),$H$2:$H$1001,"&gt;"&amp;H496)+1)</f>
        <v/>
      </c>
    </row>
    <row r="497">
      <c r="A497" s="11" t="n">
        <v>100496</v>
      </c>
      <c r="B497" s="11" t="inlineStr">
        <is>
          <t>Мексика</t>
        </is>
      </c>
      <c r="C497" s="11" t="inlineStr">
        <is>
          <t>AndesCargo</t>
        </is>
      </c>
      <c r="D497" s="11" t="inlineStr">
        <is>
          <t>AC77555842</t>
        </is>
      </c>
      <c r="E497" s="12" t="n">
        <v>46303</v>
      </c>
      <c r="F497" s="11" t="inlineStr">
        <is>
          <t>In transit</t>
        </is>
      </c>
      <c r="G497" s="13" t="n">
        <v>46306</v>
      </c>
      <c r="H497" s="5">
        <f>IF(G497="","",Rules!$B$1-G497)</f>
        <v/>
      </c>
      <c r="I497" s="5">
        <f>IF(F497="Address issue","address issue",IF(OR(F497="Delivered",F497="Returned to sender",G497=""),"",IF(AND(Rules!$B$3&lt;&gt;"",F497="Held at customs",H497&gt;=Rules!$B$3),"customs &gt;= "&amp;Rules!$B$3&amp;" days",IF(H497&gt;=Rules!$B$2,"idle &gt;= "&amp;Rules!$B$2&amp;" days",""))))</f>
        <v/>
      </c>
      <c r="J497" s="5">
        <f>IF(I497="","",IF(F497="Address issue",0,COUNTIF($I$2:$I$1001,"address issue"))+COUNTIFS($I$2:$I$1001,"?*",$F$2:$F$1001,IF(F497="Address issue","Address issue","&lt;&gt;Address issue"),$H$2:$H$1001,"&gt;"&amp;H497)+1)</f>
        <v/>
      </c>
    </row>
    <row r="498">
      <c r="A498" s="11" t="n">
        <v>100497</v>
      </c>
      <c r="B498" s="11" t="inlineStr">
        <is>
          <t>Бразилія</t>
        </is>
      </c>
      <c r="C498" s="11" t="inlineStr">
        <is>
          <t>AndesCargo</t>
        </is>
      </c>
      <c r="D498" s="11" t="inlineStr">
        <is>
          <t>AC62737793</t>
        </is>
      </c>
      <c r="E498" s="12" t="n">
        <v>46280</v>
      </c>
      <c r="F498" s="11" t="inlineStr">
        <is>
          <t>Delivered</t>
        </is>
      </c>
      <c r="G498" s="12" t="n">
        <v>46292</v>
      </c>
      <c r="H498" s="5">
        <f>IF(G498="","",Rules!$B$1-G498)</f>
        <v/>
      </c>
      <c r="I498" s="5">
        <f>IF(F498="Address issue","address issue",IF(OR(F498="Delivered",F498="Returned to sender",G498=""),"",IF(AND(Rules!$B$3&lt;&gt;"",F498="Held at customs",H498&gt;=Rules!$B$3),"customs &gt;= "&amp;Rules!$B$3&amp;" days",IF(H498&gt;=Rules!$B$2,"idle &gt;= "&amp;Rules!$B$2&amp;" days",""))))</f>
        <v/>
      </c>
      <c r="J498" s="5">
        <f>IF(I498="","",IF(F498="Address issue",0,COUNTIF($I$2:$I$1001,"address issue"))+COUNTIFS($I$2:$I$1001,"?*",$F$2:$F$1001,IF(F498="Address issue","Address issue","&lt;&gt;Address issue"),$H$2:$H$1001,"&gt;"&amp;H498)+1)</f>
        <v/>
      </c>
    </row>
    <row r="499">
      <c r="A499" s="11" t="n">
        <v>100498</v>
      </c>
      <c r="B499" s="11" t="inlineStr">
        <is>
          <t>Мексика</t>
        </is>
      </c>
      <c r="C499" s="11" t="inlineStr">
        <is>
          <t>AndesCargo</t>
        </is>
      </c>
      <c r="D499" s="11" t="inlineStr">
        <is>
          <t>AC31419420</t>
        </is>
      </c>
      <c r="E499" s="12" t="n">
        <v>46302</v>
      </c>
      <c r="F499" s="11" t="inlineStr">
        <is>
          <t>Delivered</t>
        </is>
      </c>
      <c r="G499" s="13" t="n">
        <v>46309</v>
      </c>
      <c r="H499" s="5">
        <f>IF(G499="","",Rules!$B$1-G499)</f>
        <v/>
      </c>
      <c r="I499" s="5">
        <f>IF(F499="Address issue","address issue",IF(OR(F499="Delivered",F499="Returned to sender",G499=""),"",IF(AND(Rules!$B$3&lt;&gt;"",F499="Held at customs",H499&gt;=Rules!$B$3),"customs &gt;= "&amp;Rules!$B$3&amp;" days",IF(H499&gt;=Rules!$B$2,"idle &gt;= "&amp;Rules!$B$2&amp;" days",""))))</f>
        <v/>
      </c>
      <c r="J499" s="5">
        <f>IF(I499="","",IF(F499="Address issue",0,COUNTIF($I$2:$I$1001,"address issue"))+COUNTIFS($I$2:$I$1001,"?*",$F$2:$F$1001,IF(F499="Address issue","Address issue","&lt;&gt;Address issue"),$H$2:$H$1001,"&gt;"&amp;H499)+1)</f>
        <v/>
      </c>
    </row>
    <row r="500">
      <c r="A500" s="11" t="n">
        <v>100499</v>
      </c>
      <c r="B500" s="11" t="inlineStr">
        <is>
          <t>Мексика</t>
        </is>
      </c>
      <c r="C500" s="11" t="inlineStr">
        <is>
          <t>AndesCargo</t>
        </is>
      </c>
      <c r="D500" s="11" t="inlineStr">
        <is>
          <t>AC26755794</t>
        </is>
      </c>
      <c r="E500" s="12" t="n">
        <v>46299</v>
      </c>
      <c r="F500" s="11" t="inlineStr">
        <is>
          <t>Address issue</t>
        </is>
      </c>
      <c r="G500" s="12" t="n">
        <v>46304</v>
      </c>
      <c r="H500" s="5">
        <f>IF(G500="","",Rules!$B$1-G500)</f>
        <v/>
      </c>
      <c r="I500" s="5">
        <f>IF(F500="Address issue","address issue",IF(OR(F500="Delivered",F500="Returned to sender",G500=""),"",IF(AND(Rules!$B$3&lt;&gt;"",F500="Held at customs",H500&gt;=Rules!$B$3),"customs &gt;= "&amp;Rules!$B$3&amp;" days",IF(H500&gt;=Rules!$B$2,"idle &gt;= "&amp;Rules!$B$2&amp;" days",""))))</f>
        <v/>
      </c>
      <c r="J500" s="5">
        <f>IF(I500="","",IF(F500="Address issue",0,COUNTIF($I$2:$I$1001,"address issue"))+COUNTIFS($I$2:$I$1001,"?*",$F$2:$F$1001,IF(F500="Address issue","Address issue","&lt;&gt;Address issue"),$H$2:$H$1001,"&gt;"&amp;H500)+1)</f>
        <v/>
      </c>
    </row>
    <row r="501">
      <c r="A501" s="11" t="n">
        <v>100500</v>
      </c>
      <c r="B501" s="11" t="inlineStr">
        <is>
          <t>Мексика</t>
        </is>
      </c>
      <c r="C501" s="11" t="inlineStr">
        <is>
          <t>AndesCargo</t>
        </is>
      </c>
      <c r="D501" s="11" t="inlineStr">
        <is>
          <t>AC72808695</t>
        </is>
      </c>
      <c r="E501" s="12" t="n">
        <v>46303</v>
      </c>
      <c r="F501" s="11" t="inlineStr">
        <is>
          <t>Delivered</t>
        </is>
      </c>
      <c r="G501" s="13" t="n">
        <v>46307</v>
      </c>
      <c r="H501" s="5">
        <f>IF(G501="","",Rules!$B$1-G501)</f>
        <v/>
      </c>
      <c r="I501" s="5">
        <f>IF(F501="Address issue","address issue",IF(OR(F501="Delivered",F501="Returned to sender",G501=""),"",IF(AND(Rules!$B$3&lt;&gt;"",F501="Held at customs",H501&gt;=Rules!$B$3),"customs &gt;= "&amp;Rules!$B$3&amp;" days",IF(H501&gt;=Rules!$B$2,"idle &gt;= "&amp;Rules!$B$2&amp;" days",""))))</f>
        <v/>
      </c>
      <c r="J501" s="5">
        <f>IF(I501="","",IF(F501="Address issue",0,COUNTIF($I$2:$I$1001,"address issue"))+COUNTIFS($I$2:$I$1001,"?*",$F$2:$F$1001,IF(F501="Address issue","Address issue","&lt;&gt;Address issue"),$H$2:$H$1001,"&gt;"&amp;H501)+1)</f>
        <v/>
      </c>
    </row>
    <row r="502">
      <c r="A502" s="11" t="n">
        <v>100501</v>
      </c>
      <c r="B502" s="11" t="inlineStr">
        <is>
          <t>Канада</t>
        </is>
      </c>
      <c r="C502" s="11" t="inlineStr">
        <is>
          <t>PostLink</t>
        </is>
      </c>
      <c r="D502" s="11" t="inlineStr">
        <is>
          <t>PL15573380</t>
        </is>
      </c>
      <c r="E502" s="12" t="n">
        <v>46279</v>
      </c>
      <c r="F502" s="11" t="inlineStr">
        <is>
          <t>Delivered</t>
        </is>
      </c>
      <c r="G502" s="12" t="n">
        <v>46285</v>
      </c>
      <c r="H502" s="5">
        <f>IF(G502="","",Rules!$B$1-G502)</f>
        <v/>
      </c>
      <c r="I502" s="5">
        <f>IF(F502="Address issue","address issue",IF(OR(F502="Delivered",F502="Returned to sender",G502=""),"",IF(AND(Rules!$B$3&lt;&gt;"",F502="Held at customs",H502&gt;=Rules!$B$3),"customs &gt;= "&amp;Rules!$B$3&amp;" days",IF(H502&gt;=Rules!$B$2,"idle &gt;= "&amp;Rules!$B$2&amp;" days",""))))</f>
        <v/>
      </c>
      <c r="J502" s="5">
        <f>IF(I502="","",IF(F502="Address issue",0,COUNTIF($I$2:$I$1001,"address issue"))+COUNTIFS($I$2:$I$1001,"?*",$F$2:$F$1001,IF(F502="Address issue","Address issue","&lt;&gt;Address issue"),$H$2:$H$1001,"&gt;"&amp;H502)+1)</f>
        <v/>
      </c>
    </row>
    <row r="503">
      <c r="A503" s="11" t="n">
        <v>100502</v>
      </c>
      <c r="B503" s="11" t="inlineStr">
        <is>
          <t>Бразилія</t>
        </is>
      </c>
      <c r="C503" s="11" t="inlineStr">
        <is>
          <t>SwiftParcel</t>
        </is>
      </c>
      <c r="D503" s="11" t="inlineStr">
        <is>
          <t>SP1628201</t>
        </is>
      </c>
      <c r="E503" s="12" t="n">
        <v>46277</v>
      </c>
      <c r="F503" s="11" t="inlineStr">
        <is>
          <t>Delivered</t>
        </is>
      </c>
      <c r="G503" s="12" t="n">
        <v>46281</v>
      </c>
      <c r="H503" s="5">
        <f>IF(G503="","",Rules!$B$1-G503)</f>
        <v/>
      </c>
      <c r="I503" s="5">
        <f>IF(F503="Address issue","address issue",IF(OR(F503="Delivered",F503="Returned to sender",G503=""),"",IF(AND(Rules!$B$3&lt;&gt;"",F503="Held at customs",H503&gt;=Rules!$B$3),"customs &gt;= "&amp;Rules!$B$3&amp;" days",IF(H503&gt;=Rules!$B$2,"idle &gt;= "&amp;Rules!$B$2&amp;" days",""))))</f>
        <v/>
      </c>
      <c r="J503" s="5">
        <f>IF(I503="","",IF(F503="Address issue",0,COUNTIF($I$2:$I$1001,"address issue"))+COUNTIFS($I$2:$I$1001,"?*",$F$2:$F$1001,IF(F503="Address issue","Address issue","&lt;&gt;Address issue"),$H$2:$H$1001,"&gt;"&amp;H503)+1)</f>
        <v/>
      </c>
    </row>
    <row r="504">
      <c r="A504" s="11" t="n">
        <v>100503</v>
      </c>
      <c r="B504" s="11" t="inlineStr">
        <is>
          <t>Мексика</t>
        </is>
      </c>
      <c r="C504" s="11" t="inlineStr">
        <is>
          <t>AndesCargo</t>
        </is>
      </c>
      <c r="D504" s="11" t="inlineStr">
        <is>
          <t>AC29668557</t>
        </is>
      </c>
      <c r="E504" s="12" t="n">
        <v>46293</v>
      </c>
      <c r="F504" s="11" t="inlineStr">
        <is>
          <t>Delivered</t>
        </is>
      </c>
      <c r="G504" s="12" t="n">
        <v>46302</v>
      </c>
      <c r="H504" s="5">
        <f>IF(G504="","",Rules!$B$1-G504)</f>
        <v/>
      </c>
      <c r="I504" s="5">
        <f>IF(F504="Address issue","address issue",IF(OR(F504="Delivered",F504="Returned to sender",G504=""),"",IF(AND(Rules!$B$3&lt;&gt;"",F504="Held at customs",H504&gt;=Rules!$B$3),"customs &gt;= "&amp;Rules!$B$3&amp;" days",IF(H504&gt;=Rules!$B$2,"idle &gt;= "&amp;Rules!$B$2&amp;" days",""))))</f>
        <v/>
      </c>
      <c r="J504" s="5">
        <f>IF(I504="","",IF(F504="Address issue",0,COUNTIF($I$2:$I$1001,"address issue"))+COUNTIFS($I$2:$I$1001,"?*",$F$2:$F$1001,IF(F504="Address issue","Address issue","&lt;&gt;Address issue"),$H$2:$H$1001,"&gt;"&amp;H504)+1)</f>
        <v/>
      </c>
    </row>
    <row r="505">
      <c r="A505" s="11" t="n">
        <v>100504</v>
      </c>
      <c r="B505" s="11" t="inlineStr">
        <is>
          <t>Мексика</t>
        </is>
      </c>
      <c r="C505" s="11" t="inlineStr">
        <is>
          <t>SwiftParcel</t>
        </is>
      </c>
      <c r="D505" s="11" t="inlineStr">
        <is>
          <t>SP4749521</t>
        </is>
      </c>
      <c r="E505" s="12" t="n">
        <v>46275</v>
      </c>
      <c r="F505" s="11" t="inlineStr">
        <is>
          <t>Delivered</t>
        </is>
      </c>
      <c r="G505" s="12" t="n">
        <v>46284</v>
      </c>
      <c r="H505" s="5">
        <f>IF(G505="","",Rules!$B$1-G505)</f>
        <v/>
      </c>
      <c r="I505" s="5">
        <f>IF(F505="Address issue","address issue",IF(OR(F505="Delivered",F505="Returned to sender",G505=""),"",IF(AND(Rules!$B$3&lt;&gt;"",F505="Held at customs",H505&gt;=Rules!$B$3),"customs &gt;= "&amp;Rules!$B$3&amp;" days",IF(H505&gt;=Rules!$B$2,"idle &gt;= "&amp;Rules!$B$2&amp;" days",""))))</f>
        <v/>
      </c>
      <c r="J505" s="5">
        <f>IF(I505="","",IF(F505="Address issue",0,COUNTIF($I$2:$I$1001,"address issue"))+COUNTIFS($I$2:$I$1001,"?*",$F$2:$F$1001,IF(F505="Address issue","Address issue","&lt;&gt;Address issue"),$H$2:$H$1001,"&gt;"&amp;H505)+1)</f>
        <v/>
      </c>
    </row>
    <row r="506">
      <c r="A506" s="11" t="n">
        <v>100505</v>
      </c>
      <c r="B506" s="11" t="inlineStr">
        <is>
          <t>Канада</t>
        </is>
      </c>
      <c r="C506" s="11" t="inlineStr">
        <is>
          <t>PostLink</t>
        </is>
      </c>
      <c r="D506" s="11" t="inlineStr">
        <is>
          <t>PL57281557</t>
        </is>
      </c>
      <c r="E506" s="12" t="n">
        <v>46277</v>
      </c>
      <c r="F506" s="11" t="inlineStr">
        <is>
          <t>Delivered</t>
        </is>
      </c>
      <c r="G506" s="12" t="n">
        <v>46282</v>
      </c>
      <c r="H506" s="5">
        <f>IF(G506="","",Rules!$B$1-G506)</f>
        <v/>
      </c>
      <c r="I506" s="5">
        <f>IF(F506="Address issue","address issue",IF(OR(F506="Delivered",F506="Returned to sender",G506=""),"",IF(AND(Rules!$B$3&lt;&gt;"",F506="Held at customs",H506&gt;=Rules!$B$3),"customs &gt;= "&amp;Rules!$B$3&amp;" days",IF(H506&gt;=Rules!$B$2,"idle &gt;= "&amp;Rules!$B$2&amp;" days",""))))</f>
        <v/>
      </c>
      <c r="J506" s="5">
        <f>IF(I506="","",IF(F506="Address issue",0,COUNTIF($I$2:$I$1001,"address issue"))+COUNTIFS($I$2:$I$1001,"?*",$F$2:$F$1001,IF(F506="Address issue","Address issue","&lt;&gt;Address issue"),$H$2:$H$1001,"&gt;"&amp;H506)+1)</f>
        <v/>
      </c>
    </row>
    <row r="507">
      <c r="A507" s="11" t="n">
        <v>100506</v>
      </c>
      <c r="B507" s="11" t="inlineStr">
        <is>
          <t>Мексика</t>
        </is>
      </c>
      <c r="C507" s="11" t="inlineStr">
        <is>
          <t>AndesCargo</t>
        </is>
      </c>
      <c r="D507" s="11" t="inlineStr">
        <is>
          <t>AC99691462</t>
        </is>
      </c>
      <c r="E507" s="12" t="n">
        <v>46282</v>
      </c>
      <c r="F507" s="11" t="inlineStr">
        <is>
          <t>Delivered</t>
        </is>
      </c>
      <c r="G507" s="12" t="n">
        <v>46294</v>
      </c>
      <c r="H507" s="5">
        <f>IF(G507="","",Rules!$B$1-G507)</f>
        <v/>
      </c>
      <c r="I507" s="5">
        <f>IF(F507="Address issue","address issue",IF(OR(F507="Delivered",F507="Returned to sender",G507=""),"",IF(AND(Rules!$B$3&lt;&gt;"",F507="Held at customs",H507&gt;=Rules!$B$3),"customs &gt;= "&amp;Rules!$B$3&amp;" days",IF(H507&gt;=Rules!$B$2,"idle &gt;= "&amp;Rules!$B$2&amp;" days",""))))</f>
        <v/>
      </c>
      <c r="J507" s="5">
        <f>IF(I507="","",IF(F507="Address issue",0,COUNTIF($I$2:$I$1001,"address issue"))+COUNTIFS($I$2:$I$1001,"?*",$F$2:$F$1001,IF(F507="Address issue","Address issue","&lt;&gt;Address issue"),$H$2:$H$1001,"&gt;"&amp;H507)+1)</f>
        <v/>
      </c>
    </row>
    <row r="508">
      <c r="A508" s="11" t="n">
        <v>100507</v>
      </c>
      <c r="B508" s="11" t="inlineStr">
        <is>
          <t>Бразилія</t>
        </is>
      </c>
      <c r="C508" s="11" t="inlineStr">
        <is>
          <t>SwiftParcel</t>
        </is>
      </c>
      <c r="D508" s="11" t="inlineStr">
        <is>
          <t>SP1254578</t>
        </is>
      </c>
      <c r="E508" s="12" t="n">
        <v>46292</v>
      </c>
      <c r="F508" s="11" t="inlineStr">
        <is>
          <t>In transit</t>
        </is>
      </c>
      <c r="G508" s="12" t="n">
        <v>46293</v>
      </c>
      <c r="H508" s="5">
        <f>IF(G508="","",Rules!$B$1-G508)</f>
        <v/>
      </c>
      <c r="I508" s="5">
        <f>IF(F508="Address issue","address issue",IF(OR(F508="Delivered",F508="Returned to sender",G508=""),"",IF(AND(Rules!$B$3&lt;&gt;"",F508="Held at customs",H508&gt;=Rules!$B$3),"customs &gt;= "&amp;Rules!$B$3&amp;" days",IF(H508&gt;=Rules!$B$2,"idle &gt;= "&amp;Rules!$B$2&amp;" days",""))))</f>
        <v/>
      </c>
      <c r="J508" s="5">
        <f>IF(I508="","",IF(F508="Address issue",0,COUNTIF($I$2:$I$1001,"address issue"))+COUNTIFS($I$2:$I$1001,"?*",$F$2:$F$1001,IF(F508="Address issue","Address issue","&lt;&gt;Address issue"),$H$2:$H$1001,"&gt;"&amp;H508)+1)</f>
        <v/>
      </c>
    </row>
    <row r="509">
      <c r="A509" s="11" t="n">
        <v>100508</v>
      </c>
      <c r="B509" s="11" t="inlineStr">
        <is>
          <t>Канада</t>
        </is>
      </c>
      <c r="C509" s="11" t="inlineStr">
        <is>
          <t>PostLink</t>
        </is>
      </c>
      <c r="D509" s="11" t="inlineStr">
        <is>
          <t>PL10088323</t>
        </is>
      </c>
      <c r="E509" s="12" t="n">
        <v>46292</v>
      </c>
      <c r="F509" s="11" t="inlineStr">
        <is>
          <t>Delivered</t>
        </is>
      </c>
      <c r="G509" s="12" t="n">
        <v>46296</v>
      </c>
      <c r="H509" s="5">
        <f>IF(G509="","",Rules!$B$1-G509)</f>
        <v/>
      </c>
      <c r="I509" s="5">
        <f>IF(F509="Address issue","address issue",IF(OR(F509="Delivered",F509="Returned to sender",G509=""),"",IF(AND(Rules!$B$3&lt;&gt;"",F509="Held at customs",H509&gt;=Rules!$B$3),"customs &gt;= "&amp;Rules!$B$3&amp;" days",IF(H509&gt;=Rules!$B$2,"idle &gt;= "&amp;Rules!$B$2&amp;" days",""))))</f>
        <v/>
      </c>
      <c r="J509" s="5">
        <f>IF(I509="","",IF(F509="Address issue",0,COUNTIF($I$2:$I$1001,"address issue"))+COUNTIFS($I$2:$I$1001,"?*",$F$2:$F$1001,IF(F509="Address issue","Address issue","&lt;&gt;Address issue"),$H$2:$H$1001,"&gt;"&amp;H509)+1)</f>
        <v/>
      </c>
    </row>
    <row r="510">
      <c r="A510" s="11" t="n">
        <v>100509</v>
      </c>
      <c r="B510" s="11" t="inlineStr">
        <is>
          <t>Мексика</t>
        </is>
      </c>
      <c r="C510" s="11" t="inlineStr">
        <is>
          <t>SwiftParcel</t>
        </is>
      </c>
      <c r="D510" s="11" t="inlineStr">
        <is>
          <t>SP6116936</t>
        </is>
      </c>
      <c r="E510" s="12" t="n">
        <v>46291</v>
      </c>
      <c r="F510" s="11" t="inlineStr">
        <is>
          <t>Delivered</t>
        </is>
      </c>
      <c r="G510" s="12" t="n">
        <v>46302</v>
      </c>
      <c r="H510" s="5">
        <f>IF(G510="","",Rules!$B$1-G510)</f>
        <v/>
      </c>
      <c r="I510" s="5">
        <f>IF(F510="Address issue","address issue",IF(OR(F510="Delivered",F510="Returned to sender",G510=""),"",IF(AND(Rules!$B$3&lt;&gt;"",F510="Held at customs",H510&gt;=Rules!$B$3),"customs &gt;= "&amp;Rules!$B$3&amp;" days",IF(H510&gt;=Rules!$B$2,"idle &gt;= "&amp;Rules!$B$2&amp;" days",""))))</f>
        <v/>
      </c>
      <c r="J510" s="5">
        <f>IF(I510="","",IF(F510="Address issue",0,COUNTIF($I$2:$I$1001,"address issue"))+COUNTIFS($I$2:$I$1001,"?*",$F$2:$F$1001,IF(F510="Address issue","Address issue","&lt;&gt;Address issue"),$H$2:$H$1001,"&gt;"&amp;H510)+1)</f>
        <v/>
      </c>
    </row>
    <row r="511">
      <c r="A511" s="11" t="n">
        <v>100510</v>
      </c>
      <c r="B511" s="11" t="inlineStr">
        <is>
          <t>Бразилія</t>
        </is>
      </c>
      <c r="C511" s="11" t="inlineStr">
        <is>
          <t>SwiftParcel</t>
        </is>
      </c>
      <c r="D511" s="11" t="inlineStr">
        <is>
          <t>SP7429386</t>
        </is>
      </c>
      <c r="E511" s="12" t="n">
        <v>46300</v>
      </c>
      <c r="F511" s="11" t="inlineStr">
        <is>
          <t>In transit</t>
        </is>
      </c>
      <c r="G511" s="13" t="n">
        <v>46308</v>
      </c>
      <c r="H511" s="5">
        <f>IF(G511="","",Rules!$B$1-G511)</f>
        <v/>
      </c>
      <c r="I511" s="5">
        <f>IF(F511="Address issue","address issue",IF(OR(F511="Delivered",F511="Returned to sender",G511=""),"",IF(AND(Rules!$B$3&lt;&gt;"",F511="Held at customs",H511&gt;=Rules!$B$3),"customs &gt;= "&amp;Rules!$B$3&amp;" days",IF(H511&gt;=Rules!$B$2,"idle &gt;= "&amp;Rules!$B$2&amp;" days",""))))</f>
        <v/>
      </c>
      <c r="J511" s="5">
        <f>IF(I511="","",IF(F511="Address issue",0,COUNTIF($I$2:$I$1001,"address issue"))+COUNTIFS($I$2:$I$1001,"?*",$F$2:$F$1001,IF(F511="Address issue","Address issue","&lt;&gt;Address issue"),$H$2:$H$1001,"&gt;"&amp;H511)+1)</f>
        <v/>
      </c>
    </row>
    <row r="512">
      <c r="A512" s="11" t="n">
        <v>100511</v>
      </c>
      <c r="B512" s="11" t="inlineStr">
        <is>
          <t>Мексика</t>
        </is>
      </c>
      <c r="C512" s="11" t="inlineStr">
        <is>
          <t>AndesCargo</t>
        </is>
      </c>
      <c r="D512" s="11" t="inlineStr">
        <is>
          <t>AC51091028</t>
        </is>
      </c>
      <c r="E512" s="12" t="n">
        <v>46303</v>
      </c>
      <c r="F512" s="11" t="inlineStr">
        <is>
          <t>Label created</t>
        </is>
      </c>
      <c r="G512" s="12" t="n">
        <v>46303</v>
      </c>
      <c r="H512" s="5">
        <f>IF(G512="","",Rules!$B$1-G512)</f>
        <v/>
      </c>
      <c r="I512" s="5">
        <f>IF(F512="Address issue","address issue",IF(OR(F512="Delivered",F512="Returned to sender",G512=""),"",IF(AND(Rules!$B$3&lt;&gt;"",F512="Held at customs",H512&gt;=Rules!$B$3),"customs &gt;= "&amp;Rules!$B$3&amp;" days",IF(H512&gt;=Rules!$B$2,"idle &gt;= "&amp;Rules!$B$2&amp;" days",""))))</f>
        <v/>
      </c>
      <c r="J512" s="5">
        <f>IF(I512="","",IF(F512="Address issue",0,COUNTIF($I$2:$I$1001,"address issue"))+COUNTIFS($I$2:$I$1001,"?*",$F$2:$F$1001,IF(F512="Address issue","Address issue","&lt;&gt;Address issue"),$H$2:$H$1001,"&gt;"&amp;H512)+1)</f>
        <v/>
      </c>
    </row>
    <row r="513">
      <c r="A513" s="11" t="n">
        <v>100512</v>
      </c>
      <c r="B513" s="11" t="inlineStr">
        <is>
          <t>Бразилія</t>
        </is>
      </c>
      <c r="C513" s="11" t="inlineStr">
        <is>
          <t>SwiftParcel</t>
        </is>
      </c>
      <c r="D513" s="11" t="inlineStr">
        <is>
          <t>SP7141074</t>
        </is>
      </c>
      <c r="E513" s="12" t="n">
        <v>46304</v>
      </c>
      <c r="F513" s="11" t="inlineStr">
        <is>
          <t>Out for delivery</t>
        </is>
      </c>
      <c r="G513" s="13" t="n">
        <v>46305</v>
      </c>
      <c r="H513" s="5">
        <f>IF(G513="","",Rules!$B$1-G513)</f>
        <v/>
      </c>
      <c r="I513" s="5">
        <f>IF(F513="Address issue","address issue",IF(OR(F513="Delivered",F513="Returned to sender",G513=""),"",IF(AND(Rules!$B$3&lt;&gt;"",F513="Held at customs",H513&gt;=Rules!$B$3),"customs &gt;= "&amp;Rules!$B$3&amp;" days",IF(H513&gt;=Rules!$B$2,"idle &gt;= "&amp;Rules!$B$2&amp;" days",""))))</f>
        <v/>
      </c>
      <c r="J513" s="5">
        <f>IF(I513="","",IF(F513="Address issue",0,COUNTIF($I$2:$I$1001,"address issue"))+COUNTIFS($I$2:$I$1001,"?*",$F$2:$F$1001,IF(F513="Address issue","Address issue","&lt;&gt;Address issue"),$H$2:$H$1001,"&gt;"&amp;H513)+1)</f>
        <v/>
      </c>
    </row>
    <row r="514">
      <c r="A514" s="11" t="n">
        <v>100513</v>
      </c>
      <c r="B514" s="11" t="inlineStr">
        <is>
          <t>Мексика</t>
        </is>
      </c>
      <c r="C514" s="11" t="inlineStr">
        <is>
          <t>SwiftParcel</t>
        </is>
      </c>
      <c r="D514" s="11" t="inlineStr">
        <is>
          <t>SP5610116</t>
        </is>
      </c>
      <c r="E514" s="12" t="n">
        <v>46292</v>
      </c>
      <c r="F514" s="11" t="inlineStr">
        <is>
          <t>Delivered</t>
        </is>
      </c>
      <c r="G514" s="12" t="n">
        <v>46297</v>
      </c>
      <c r="H514" s="5">
        <f>IF(G514="","",Rules!$B$1-G514)</f>
        <v/>
      </c>
      <c r="I514" s="5">
        <f>IF(F514="Address issue","address issue",IF(OR(F514="Delivered",F514="Returned to sender",G514=""),"",IF(AND(Rules!$B$3&lt;&gt;"",F514="Held at customs",H514&gt;=Rules!$B$3),"customs &gt;= "&amp;Rules!$B$3&amp;" days",IF(H514&gt;=Rules!$B$2,"idle &gt;= "&amp;Rules!$B$2&amp;" days",""))))</f>
        <v/>
      </c>
      <c r="J514" s="5">
        <f>IF(I514="","",IF(F514="Address issue",0,COUNTIF($I$2:$I$1001,"address issue"))+COUNTIFS($I$2:$I$1001,"?*",$F$2:$F$1001,IF(F514="Address issue","Address issue","&lt;&gt;Address issue"),$H$2:$H$1001,"&gt;"&amp;H514)+1)</f>
        <v/>
      </c>
    </row>
    <row r="515">
      <c r="A515" s="11" t="n">
        <v>100514</v>
      </c>
      <c r="B515" s="11" t="inlineStr">
        <is>
          <t>Бразилія</t>
        </is>
      </c>
      <c r="C515" s="11" t="inlineStr">
        <is>
          <t>SwiftParcel</t>
        </is>
      </c>
      <c r="D515" s="11" t="inlineStr">
        <is>
          <t>SP6511184</t>
        </is>
      </c>
      <c r="E515" s="12" t="n">
        <v>46278</v>
      </c>
      <c r="F515" s="11" t="inlineStr">
        <is>
          <t>Delivered</t>
        </is>
      </c>
      <c r="G515" s="12" t="n">
        <v>46284</v>
      </c>
      <c r="H515" s="5">
        <f>IF(G515="","",Rules!$B$1-G515)</f>
        <v/>
      </c>
      <c r="I515" s="5">
        <f>IF(F515="Address issue","address issue",IF(OR(F515="Delivered",F515="Returned to sender",G515=""),"",IF(AND(Rules!$B$3&lt;&gt;"",F515="Held at customs",H515&gt;=Rules!$B$3),"customs &gt;= "&amp;Rules!$B$3&amp;" days",IF(H515&gt;=Rules!$B$2,"idle &gt;= "&amp;Rules!$B$2&amp;" days",""))))</f>
        <v/>
      </c>
      <c r="J515" s="5">
        <f>IF(I515="","",IF(F515="Address issue",0,COUNTIF($I$2:$I$1001,"address issue"))+COUNTIFS($I$2:$I$1001,"?*",$F$2:$F$1001,IF(F515="Address issue","Address issue","&lt;&gt;Address issue"),$H$2:$H$1001,"&gt;"&amp;H515)+1)</f>
        <v/>
      </c>
    </row>
    <row r="516">
      <c r="A516" s="11" t="n">
        <v>100515</v>
      </c>
      <c r="B516" s="11" t="inlineStr">
        <is>
          <t>Мексика</t>
        </is>
      </c>
      <c r="C516" s="11" t="inlineStr">
        <is>
          <t>SwiftParcel</t>
        </is>
      </c>
      <c r="D516" s="11" t="inlineStr">
        <is>
          <t>SP1124740</t>
        </is>
      </c>
      <c r="E516" s="12" t="n">
        <v>46291</v>
      </c>
      <c r="F516" s="11" t="inlineStr">
        <is>
          <t>Delivered</t>
        </is>
      </c>
      <c r="G516" s="12" t="n">
        <v>46303</v>
      </c>
      <c r="H516" s="5">
        <f>IF(G516="","",Rules!$B$1-G516)</f>
        <v/>
      </c>
      <c r="I516" s="5">
        <f>IF(F516="Address issue","address issue",IF(OR(F516="Delivered",F516="Returned to sender",G516=""),"",IF(AND(Rules!$B$3&lt;&gt;"",F516="Held at customs",H516&gt;=Rules!$B$3),"customs &gt;= "&amp;Rules!$B$3&amp;" days",IF(H516&gt;=Rules!$B$2,"idle &gt;= "&amp;Rules!$B$2&amp;" days",""))))</f>
        <v/>
      </c>
      <c r="J516" s="5">
        <f>IF(I516="","",IF(F516="Address issue",0,COUNTIF($I$2:$I$1001,"address issue"))+COUNTIFS($I$2:$I$1001,"?*",$F$2:$F$1001,IF(F516="Address issue","Address issue","&lt;&gt;Address issue"),$H$2:$H$1001,"&gt;"&amp;H516)+1)</f>
        <v/>
      </c>
    </row>
    <row r="517">
      <c r="A517" s="11" t="n">
        <v>100516</v>
      </c>
      <c r="B517" s="11" t="inlineStr">
        <is>
          <t>Мексика</t>
        </is>
      </c>
      <c r="C517" s="11" t="inlineStr">
        <is>
          <t>AndesCargo</t>
        </is>
      </c>
      <c r="D517" s="11" t="inlineStr">
        <is>
          <t>AC99796546</t>
        </is>
      </c>
      <c r="E517" s="12" t="n">
        <v>46302</v>
      </c>
      <c r="F517" s="11" t="inlineStr">
        <is>
          <t>Out for delivery</t>
        </is>
      </c>
      <c r="G517" s="13" t="n">
        <v>46309</v>
      </c>
      <c r="H517" s="5">
        <f>IF(G517="","",Rules!$B$1-G517)</f>
        <v/>
      </c>
      <c r="I517" s="5">
        <f>IF(F517="Address issue","address issue",IF(OR(F517="Delivered",F517="Returned to sender",G517=""),"",IF(AND(Rules!$B$3&lt;&gt;"",F517="Held at customs",H517&gt;=Rules!$B$3),"customs &gt;= "&amp;Rules!$B$3&amp;" days",IF(H517&gt;=Rules!$B$2,"idle &gt;= "&amp;Rules!$B$2&amp;" days",""))))</f>
        <v/>
      </c>
      <c r="J517" s="5">
        <f>IF(I517="","",IF(F517="Address issue",0,COUNTIF($I$2:$I$1001,"address issue"))+COUNTIFS($I$2:$I$1001,"?*",$F$2:$F$1001,IF(F517="Address issue","Address issue","&lt;&gt;Address issue"),$H$2:$H$1001,"&gt;"&amp;H517)+1)</f>
        <v/>
      </c>
    </row>
    <row r="518">
      <c r="A518" s="11" t="n">
        <v>100517</v>
      </c>
      <c r="B518" s="11" t="inlineStr">
        <is>
          <t>Бразилія</t>
        </is>
      </c>
      <c r="C518" s="11" t="inlineStr">
        <is>
          <t>SwiftParcel</t>
        </is>
      </c>
      <c r="D518" s="11" t="inlineStr">
        <is>
          <t>SP5199786</t>
        </is>
      </c>
      <c r="E518" s="12" t="n">
        <v>46301</v>
      </c>
      <c r="F518" s="11" t="inlineStr">
        <is>
          <t>Address issue</t>
        </is>
      </c>
      <c r="G518" s="12" t="n">
        <v>46303</v>
      </c>
      <c r="H518" s="5">
        <f>IF(G518="","",Rules!$B$1-G518)</f>
        <v/>
      </c>
      <c r="I518" s="5">
        <f>IF(F518="Address issue","address issue",IF(OR(F518="Delivered",F518="Returned to sender",G518=""),"",IF(AND(Rules!$B$3&lt;&gt;"",F518="Held at customs",H518&gt;=Rules!$B$3),"customs &gt;= "&amp;Rules!$B$3&amp;" days",IF(H518&gt;=Rules!$B$2,"idle &gt;= "&amp;Rules!$B$2&amp;" days",""))))</f>
        <v/>
      </c>
      <c r="J518" s="5">
        <f>IF(I518="","",IF(F518="Address issue",0,COUNTIF($I$2:$I$1001,"address issue"))+COUNTIFS($I$2:$I$1001,"?*",$F$2:$F$1001,IF(F518="Address issue","Address issue","&lt;&gt;Address issue"),$H$2:$H$1001,"&gt;"&amp;H518)+1)</f>
        <v/>
      </c>
    </row>
    <row r="519">
      <c r="A519" s="11" t="n">
        <v>100518</v>
      </c>
      <c r="B519" s="11" t="inlineStr">
        <is>
          <t>Бразилія</t>
        </is>
      </c>
      <c r="C519" s="11" t="inlineStr">
        <is>
          <t>SwiftParcel</t>
        </is>
      </c>
      <c r="D519" s="11" t="inlineStr">
        <is>
          <t>SP4339849</t>
        </is>
      </c>
      <c r="E519" s="12" t="n">
        <v>46286</v>
      </c>
      <c r="F519" s="11" t="inlineStr">
        <is>
          <t>Delivered</t>
        </is>
      </c>
      <c r="G519" s="12" t="n">
        <v>46294</v>
      </c>
      <c r="H519" s="5">
        <f>IF(G519="","",Rules!$B$1-G519)</f>
        <v/>
      </c>
      <c r="I519" s="5">
        <f>IF(F519="Address issue","address issue",IF(OR(F519="Delivered",F519="Returned to sender",G519=""),"",IF(AND(Rules!$B$3&lt;&gt;"",F519="Held at customs",H519&gt;=Rules!$B$3),"customs &gt;= "&amp;Rules!$B$3&amp;" days",IF(H519&gt;=Rules!$B$2,"idle &gt;= "&amp;Rules!$B$2&amp;" days",""))))</f>
        <v/>
      </c>
      <c r="J519" s="5">
        <f>IF(I519="","",IF(F519="Address issue",0,COUNTIF($I$2:$I$1001,"address issue"))+COUNTIFS($I$2:$I$1001,"?*",$F$2:$F$1001,IF(F519="Address issue","Address issue","&lt;&gt;Address issue"),$H$2:$H$1001,"&gt;"&amp;H519)+1)</f>
        <v/>
      </c>
    </row>
    <row r="520">
      <c r="A520" s="11" t="n">
        <v>100519</v>
      </c>
      <c r="B520" s="11" t="inlineStr">
        <is>
          <t>Бразилія</t>
        </is>
      </c>
      <c r="C520" s="11" t="inlineStr">
        <is>
          <t>AndesCargo</t>
        </is>
      </c>
      <c r="D520" s="11" t="inlineStr">
        <is>
          <t>AC60485490</t>
        </is>
      </c>
      <c r="E520" s="12" t="n">
        <v>46281</v>
      </c>
      <c r="F520" s="11" t="inlineStr">
        <is>
          <t>Delivered</t>
        </is>
      </c>
      <c r="G520" s="12" t="n">
        <v>46287</v>
      </c>
      <c r="H520" s="5">
        <f>IF(G520="","",Rules!$B$1-G520)</f>
        <v/>
      </c>
      <c r="I520" s="5">
        <f>IF(F520="Address issue","address issue",IF(OR(F520="Delivered",F520="Returned to sender",G520=""),"",IF(AND(Rules!$B$3&lt;&gt;"",F520="Held at customs",H520&gt;=Rules!$B$3),"customs &gt;= "&amp;Rules!$B$3&amp;" days",IF(H520&gt;=Rules!$B$2,"idle &gt;= "&amp;Rules!$B$2&amp;" days",""))))</f>
        <v/>
      </c>
      <c r="J520" s="5">
        <f>IF(I520="","",IF(F520="Address issue",0,COUNTIF($I$2:$I$1001,"address issue"))+COUNTIFS($I$2:$I$1001,"?*",$F$2:$F$1001,IF(F520="Address issue","Address issue","&lt;&gt;Address issue"),$H$2:$H$1001,"&gt;"&amp;H520)+1)</f>
        <v/>
      </c>
    </row>
    <row r="521">
      <c r="A521" s="11" t="n">
        <v>100520</v>
      </c>
      <c r="B521" s="11" t="inlineStr">
        <is>
          <t>Канада</t>
        </is>
      </c>
      <c r="C521" s="11" t="inlineStr">
        <is>
          <t>PostLink</t>
        </is>
      </c>
      <c r="D521" s="11" t="inlineStr">
        <is>
          <t>PL67408235</t>
        </is>
      </c>
      <c r="E521" s="12" t="n">
        <v>46301</v>
      </c>
      <c r="F521" s="11" t="inlineStr">
        <is>
          <t>In transit</t>
        </is>
      </c>
      <c r="G521" s="12" t="n">
        <v>46304</v>
      </c>
      <c r="H521" s="5">
        <f>IF(G521="","",Rules!$B$1-G521)</f>
        <v/>
      </c>
      <c r="I521" s="5">
        <f>IF(F521="Address issue","address issue",IF(OR(F521="Delivered",F521="Returned to sender",G521=""),"",IF(AND(Rules!$B$3&lt;&gt;"",F521="Held at customs",H521&gt;=Rules!$B$3),"customs &gt;= "&amp;Rules!$B$3&amp;" days",IF(H521&gt;=Rules!$B$2,"idle &gt;= "&amp;Rules!$B$2&amp;" days",""))))</f>
        <v/>
      </c>
      <c r="J521" s="5">
        <f>IF(I521="","",IF(F521="Address issue",0,COUNTIF($I$2:$I$1001,"address issue"))+COUNTIFS($I$2:$I$1001,"?*",$F$2:$F$1001,IF(F521="Address issue","Address issue","&lt;&gt;Address issue"),$H$2:$H$1001,"&gt;"&amp;H521)+1)</f>
        <v/>
      </c>
    </row>
    <row r="522">
      <c r="A522" s="11" t="n">
        <v>100521</v>
      </c>
      <c r="B522" s="11" t="inlineStr">
        <is>
          <t>Мексика</t>
        </is>
      </c>
      <c r="C522" s="11" t="inlineStr">
        <is>
          <t>SwiftParcel</t>
        </is>
      </c>
      <c r="D522" s="11" t="inlineStr">
        <is>
          <t>SP2676946</t>
        </is>
      </c>
      <c r="E522" s="12" t="n">
        <v>46278</v>
      </c>
      <c r="F522" s="11" t="inlineStr">
        <is>
          <t>Delivered</t>
        </is>
      </c>
      <c r="G522" s="12" t="n">
        <v>46285</v>
      </c>
      <c r="H522" s="5">
        <f>IF(G522="","",Rules!$B$1-G522)</f>
        <v/>
      </c>
      <c r="I522" s="5">
        <f>IF(F522="Address issue","address issue",IF(OR(F522="Delivered",F522="Returned to sender",G522=""),"",IF(AND(Rules!$B$3&lt;&gt;"",F522="Held at customs",H522&gt;=Rules!$B$3),"customs &gt;= "&amp;Rules!$B$3&amp;" days",IF(H522&gt;=Rules!$B$2,"idle &gt;= "&amp;Rules!$B$2&amp;" days",""))))</f>
        <v/>
      </c>
      <c r="J522" s="5">
        <f>IF(I522="","",IF(F522="Address issue",0,COUNTIF($I$2:$I$1001,"address issue"))+COUNTIFS($I$2:$I$1001,"?*",$F$2:$F$1001,IF(F522="Address issue","Address issue","&lt;&gt;Address issue"),$H$2:$H$1001,"&gt;"&amp;H522)+1)</f>
        <v/>
      </c>
    </row>
    <row r="523">
      <c r="A523" s="11" t="n">
        <v>100522</v>
      </c>
      <c r="B523" s="11" t="inlineStr">
        <is>
          <t>Канада</t>
        </is>
      </c>
      <c r="C523" s="11" t="inlineStr">
        <is>
          <t>PostLink</t>
        </is>
      </c>
      <c r="D523" s="11" t="inlineStr">
        <is>
          <t>PL99505571</t>
        </is>
      </c>
      <c r="E523" s="12" t="n">
        <v>46302</v>
      </c>
      <c r="F523" s="11" t="inlineStr">
        <is>
          <t>Delivered</t>
        </is>
      </c>
      <c r="G523" s="13" t="n">
        <v>46306</v>
      </c>
      <c r="H523" s="5">
        <f>IF(G523="","",Rules!$B$1-G523)</f>
        <v/>
      </c>
      <c r="I523" s="5">
        <f>IF(F523="Address issue","address issue",IF(OR(F523="Delivered",F523="Returned to sender",G523=""),"",IF(AND(Rules!$B$3&lt;&gt;"",F523="Held at customs",H523&gt;=Rules!$B$3),"customs &gt;= "&amp;Rules!$B$3&amp;" days",IF(H523&gt;=Rules!$B$2,"idle &gt;= "&amp;Rules!$B$2&amp;" days",""))))</f>
        <v/>
      </c>
      <c r="J523" s="5">
        <f>IF(I523="","",IF(F523="Address issue",0,COUNTIF($I$2:$I$1001,"address issue"))+COUNTIFS($I$2:$I$1001,"?*",$F$2:$F$1001,IF(F523="Address issue","Address issue","&lt;&gt;Address issue"),$H$2:$H$1001,"&gt;"&amp;H523)+1)</f>
        <v/>
      </c>
    </row>
    <row r="524">
      <c r="A524" s="11" t="n">
        <v>100523</v>
      </c>
      <c r="B524" s="11" t="inlineStr">
        <is>
          <t>Мексика</t>
        </is>
      </c>
      <c r="C524" s="11" t="inlineStr">
        <is>
          <t>AndesCargo</t>
        </is>
      </c>
      <c r="D524" s="11" t="inlineStr">
        <is>
          <t>AC31645061</t>
        </is>
      </c>
      <c r="E524" s="12" t="n">
        <v>46274</v>
      </c>
      <c r="F524" s="11" t="inlineStr">
        <is>
          <t>Delivered</t>
        </is>
      </c>
      <c r="G524" s="12" t="n">
        <v>46280</v>
      </c>
      <c r="H524" s="5">
        <f>IF(G524="","",Rules!$B$1-G524)</f>
        <v/>
      </c>
      <c r="I524" s="5">
        <f>IF(F524="Address issue","address issue",IF(OR(F524="Delivered",F524="Returned to sender",G524=""),"",IF(AND(Rules!$B$3&lt;&gt;"",F524="Held at customs",H524&gt;=Rules!$B$3),"customs &gt;= "&amp;Rules!$B$3&amp;" days",IF(H524&gt;=Rules!$B$2,"idle &gt;= "&amp;Rules!$B$2&amp;" days",""))))</f>
        <v/>
      </c>
      <c r="J524" s="5">
        <f>IF(I524="","",IF(F524="Address issue",0,COUNTIF($I$2:$I$1001,"address issue"))+COUNTIFS($I$2:$I$1001,"?*",$F$2:$F$1001,IF(F524="Address issue","Address issue","&lt;&gt;Address issue"),$H$2:$H$1001,"&gt;"&amp;H524)+1)</f>
        <v/>
      </c>
    </row>
    <row r="525">
      <c r="A525" s="11" t="n">
        <v>100524</v>
      </c>
      <c r="B525" s="11" t="inlineStr">
        <is>
          <t>Бразилія</t>
        </is>
      </c>
      <c r="C525" s="11" t="inlineStr">
        <is>
          <t>SwiftParcel</t>
        </is>
      </c>
      <c r="D525" s="11" t="inlineStr">
        <is>
          <t>SP6827446</t>
        </is>
      </c>
      <c r="E525" s="12" t="n">
        <v>46280</v>
      </c>
      <c r="F525" s="11" t="inlineStr">
        <is>
          <t>Delivered</t>
        </is>
      </c>
      <c r="G525" s="12" t="n">
        <v>46288</v>
      </c>
      <c r="H525" s="5">
        <f>IF(G525="","",Rules!$B$1-G525)</f>
        <v/>
      </c>
      <c r="I525" s="5">
        <f>IF(F525="Address issue","address issue",IF(OR(F525="Delivered",F525="Returned to sender",G525=""),"",IF(AND(Rules!$B$3&lt;&gt;"",F525="Held at customs",H525&gt;=Rules!$B$3),"customs &gt;= "&amp;Rules!$B$3&amp;" days",IF(H525&gt;=Rules!$B$2,"idle &gt;= "&amp;Rules!$B$2&amp;" days",""))))</f>
        <v/>
      </c>
      <c r="J525" s="5">
        <f>IF(I525="","",IF(F525="Address issue",0,COUNTIF($I$2:$I$1001,"address issue"))+COUNTIFS($I$2:$I$1001,"?*",$F$2:$F$1001,IF(F525="Address issue","Address issue","&lt;&gt;Address issue"),$H$2:$H$1001,"&gt;"&amp;H525)+1)</f>
        <v/>
      </c>
    </row>
    <row r="526">
      <c r="A526" s="11" t="n">
        <v>100525</v>
      </c>
      <c r="B526" s="11" t="inlineStr">
        <is>
          <t>Мексика</t>
        </is>
      </c>
      <c r="C526" s="11" t="inlineStr">
        <is>
          <t>SwiftParcel</t>
        </is>
      </c>
      <c r="D526" s="11" t="inlineStr">
        <is>
          <t>SP9089168</t>
        </is>
      </c>
      <c r="E526" s="12" t="n">
        <v>46295</v>
      </c>
      <c r="F526" s="11" t="inlineStr">
        <is>
          <t>In transit</t>
        </is>
      </c>
      <c r="G526" s="12" t="n">
        <v>46300</v>
      </c>
      <c r="H526" s="5">
        <f>IF(G526="","",Rules!$B$1-G526)</f>
        <v/>
      </c>
      <c r="I526" s="5">
        <f>IF(F526="Address issue","address issue",IF(OR(F526="Delivered",F526="Returned to sender",G526=""),"",IF(AND(Rules!$B$3&lt;&gt;"",F526="Held at customs",H526&gt;=Rules!$B$3),"customs &gt;= "&amp;Rules!$B$3&amp;" days",IF(H526&gt;=Rules!$B$2,"idle &gt;= "&amp;Rules!$B$2&amp;" days",""))))</f>
        <v/>
      </c>
      <c r="J526" s="5">
        <f>IF(I526="","",IF(F526="Address issue",0,COUNTIF($I$2:$I$1001,"address issue"))+COUNTIFS($I$2:$I$1001,"?*",$F$2:$F$1001,IF(F526="Address issue","Address issue","&lt;&gt;Address issue"),$H$2:$H$1001,"&gt;"&amp;H526)+1)</f>
        <v/>
      </c>
    </row>
    <row r="527">
      <c r="A527" s="11" t="n">
        <v>100526</v>
      </c>
      <c r="B527" s="11" t="inlineStr">
        <is>
          <t>Канада</t>
        </is>
      </c>
      <c r="C527" s="11" t="inlineStr">
        <is>
          <t>PostLink</t>
        </is>
      </c>
      <c r="D527" s="11" t="inlineStr">
        <is>
          <t>PL12252037</t>
        </is>
      </c>
      <c r="E527" s="12" t="n">
        <v>46302</v>
      </c>
      <c r="F527" s="11" t="inlineStr">
        <is>
          <t>Delivered</t>
        </is>
      </c>
      <c r="G527" s="13" t="n">
        <v>46310</v>
      </c>
      <c r="H527" s="5">
        <f>IF(G527="","",Rules!$B$1-G527)</f>
        <v/>
      </c>
      <c r="I527" s="5">
        <f>IF(F527="Address issue","address issue",IF(OR(F527="Delivered",F527="Returned to sender",G527=""),"",IF(AND(Rules!$B$3&lt;&gt;"",F527="Held at customs",H527&gt;=Rules!$B$3),"customs &gt;= "&amp;Rules!$B$3&amp;" days",IF(H527&gt;=Rules!$B$2,"idle &gt;= "&amp;Rules!$B$2&amp;" days",""))))</f>
        <v/>
      </c>
      <c r="J527" s="5">
        <f>IF(I527="","",IF(F527="Address issue",0,COUNTIF($I$2:$I$1001,"address issue"))+COUNTIFS($I$2:$I$1001,"?*",$F$2:$F$1001,IF(F527="Address issue","Address issue","&lt;&gt;Address issue"),$H$2:$H$1001,"&gt;"&amp;H527)+1)</f>
        <v/>
      </c>
    </row>
    <row r="528">
      <c r="A528" s="11" t="n">
        <v>100527</v>
      </c>
      <c r="B528" s="11" t="inlineStr">
        <is>
          <t>Мексика</t>
        </is>
      </c>
      <c r="C528" s="11" t="inlineStr">
        <is>
          <t>SwiftParcel</t>
        </is>
      </c>
      <c r="D528" s="11" t="inlineStr">
        <is>
          <t>SP5354779</t>
        </is>
      </c>
      <c r="E528" s="12" t="n">
        <v>46303</v>
      </c>
      <c r="F528" s="11" t="inlineStr">
        <is>
          <t>Held at customs</t>
        </is>
      </c>
      <c r="G528" s="13" t="n">
        <v>46307</v>
      </c>
      <c r="H528" s="5">
        <f>IF(G528="","",Rules!$B$1-G528)</f>
        <v/>
      </c>
      <c r="I528" s="5">
        <f>IF(F528="Address issue","address issue",IF(OR(F528="Delivered",F528="Returned to sender",G528=""),"",IF(AND(Rules!$B$3&lt;&gt;"",F528="Held at customs",H528&gt;=Rules!$B$3),"customs &gt;= "&amp;Rules!$B$3&amp;" days",IF(H528&gt;=Rules!$B$2,"idle &gt;= "&amp;Rules!$B$2&amp;" days",""))))</f>
        <v/>
      </c>
      <c r="J528" s="5">
        <f>IF(I528="","",IF(F528="Address issue",0,COUNTIF($I$2:$I$1001,"address issue"))+COUNTIFS($I$2:$I$1001,"?*",$F$2:$F$1001,IF(F528="Address issue","Address issue","&lt;&gt;Address issue"),$H$2:$H$1001,"&gt;"&amp;H528)+1)</f>
        <v/>
      </c>
    </row>
    <row r="529">
      <c r="A529" s="11" t="n">
        <v>100528</v>
      </c>
      <c r="B529" s="11" t="inlineStr">
        <is>
          <t>Мексика</t>
        </is>
      </c>
      <c r="C529" s="11" t="inlineStr">
        <is>
          <t>AndesCargo</t>
        </is>
      </c>
      <c r="D529" s="11" t="inlineStr">
        <is>
          <t>AC59702832</t>
        </is>
      </c>
      <c r="E529" s="12" t="n">
        <v>46289</v>
      </c>
      <c r="F529" s="11" t="inlineStr">
        <is>
          <t>Delivered</t>
        </is>
      </c>
      <c r="G529" s="12" t="n">
        <v>46297</v>
      </c>
      <c r="H529" s="5">
        <f>IF(G529="","",Rules!$B$1-G529)</f>
        <v/>
      </c>
      <c r="I529" s="5">
        <f>IF(F529="Address issue","address issue",IF(OR(F529="Delivered",F529="Returned to sender",G529=""),"",IF(AND(Rules!$B$3&lt;&gt;"",F529="Held at customs",H529&gt;=Rules!$B$3),"customs &gt;= "&amp;Rules!$B$3&amp;" days",IF(H529&gt;=Rules!$B$2,"idle &gt;= "&amp;Rules!$B$2&amp;" days",""))))</f>
        <v/>
      </c>
      <c r="J529" s="5">
        <f>IF(I529="","",IF(F529="Address issue",0,COUNTIF($I$2:$I$1001,"address issue"))+COUNTIFS($I$2:$I$1001,"?*",$F$2:$F$1001,IF(F529="Address issue","Address issue","&lt;&gt;Address issue"),$H$2:$H$1001,"&gt;"&amp;H529)+1)</f>
        <v/>
      </c>
    </row>
    <row r="530">
      <c r="A530" s="11" t="n">
        <v>100529</v>
      </c>
      <c r="B530" s="11" t="inlineStr">
        <is>
          <t>Мексика</t>
        </is>
      </c>
      <c r="C530" s="11" t="inlineStr">
        <is>
          <t>AndesCargo</t>
        </is>
      </c>
      <c r="D530" s="11" t="inlineStr">
        <is>
          <t>AC55507244</t>
        </is>
      </c>
      <c r="E530" s="12" t="n">
        <v>46296</v>
      </c>
      <c r="F530" s="11" t="inlineStr">
        <is>
          <t>In transit</t>
        </is>
      </c>
      <c r="G530" s="12" t="n">
        <v>46303</v>
      </c>
      <c r="H530" s="5">
        <f>IF(G530="","",Rules!$B$1-G530)</f>
        <v/>
      </c>
      <c r="I530" s="5">
        <f>IF(F530="Address issue","address issue",IF(OR(F530="Delivered",F530="Returned to sender",G530=""),"",IF(AND(Rules!$B$3&lt;&gt;"",F530="Held at customs",H530&gt;=Rules!$B$3),"customs &gt;= "&amp;Rules!$B$3&amp;" days",IF(H530&gt;=Rules!$B$2,"idle &gt;= "&amp;Rules!$B$2&amp;" days",""))))</f>
        <v/>
      </c>
      <c r="J530" s="5">
        <f>IF(I530="","",IF(F530="Address issue",0,COUNTIF($I$2:$I$1001,"address issue"))+COUNTIFS($I$2:$I$1001,"?*",$F$2:$F$1001,IF(F530="Address issue","Address issue","&lt;&gt;Address issue"),$H$2:$H$1001,"&gt;"&amp;H530)+1)</f>
        <v/>
      </c>
    </row>
    <row r="531">
      <c r="A531" s="11" t="n">
        <v>100530</v>
      </c>
      <c r="B531" s="11" t="inlineStr">
        <is>
          <t>Бразилія</t>
        </is>
      </c>
      <c r="C531" s="11" t="inlineStr">
        <is>
          <t>SwiftParcel</t>
        </is>
      </c>
      <c r="D531" s="11" t="inlineStr">
        <is>
          <t>SP7753410</t>
        </is>
      </c>
      <c r="E531" s="12" t="n">
        <v>46301</v>
      </c>
      <c r="F531" s="11" t="inlineStr">
        <is>
          <t>In transit</t>
        </is>
      </c>
      <c r="G531" s="13" t="n">
        <v>46306</v>
      </c>
      <c r="H531" s="5">
        <f>IF(G531="","",Rules!$B$1-G531)</f>
        <v/>
      </c>
      <c r="I531" s="5">
        <f>IF(F531="Address issue","address issue",IF(OR(F531="Delivered",F531="Returned to sender",G531=""),"",IF(AND(Rules!$B$3&lt;&gt;"",F531="Held at customs",H531&gt;=Rules!$B$3),"customs &gt;= "&amp;Rules!$B$3&amp;" days",IF(H531&gt;=Rules!$B$2,"idle &gt;= "&amp;Rules!$B$2&amp;" days",""))))</f>
        <v/>
      </c>
      <c r="J531" s="5">
        <f>IF(I531="","",IF(F531="Address issue",0,COUNTIF($I$2:$I$1001,"address issue"))+COUNTIFS($I$2:$I$1001,"?*",$F$2:$F$1001,IF(F531="Address issue","Address issue","&lt;&gt;Address issue"),$H$2:$H$1001,"&gt;"&amp;H531)+1)</f>
        <v/>
      </c>
    </row>
    <row r="532">
      <c r="A532" s="11" t="n">
        <v>100531</v>
      </c>
      <c r="B532" s="11" t="inlineStr">
        <is>
          <t>Мексика</t>
        </is>
      </c>
      <c r="C532" s="11" t="inlineStr">
        <is>
          <t>AndesCargo</t>
        </is>
      </c>
      <c r="D532" s="11" t="inlineStr">
        <is>
          <t>AC20071318</t>
        </is>
      </c>
      <c r="E532" s="12" t="n">
        <v>46287</v>
      </c>
      <c r="F532" s="11" t="inlineStr">
        <is>
          <t>Delivered</t>
        </is>
      </c>
      <c r="G532" s="12" t="n">
        <v>46299</v>
      </c>
      <c r="H532" s="5">
        <f>IF(G532="","",Rules!$B$1-G532)</f>
        <v/>
      </c>
      <c r="I532" s="5">
        <f>IF(F532="Address issue","address issue",IF(OR(F532="Delivered",F532="Returned to sender",G532=""),"",IF(AND(Rules!$B$3&lt;&gt;"",F532="Held at customs",H532&gt;=Rules!$B$3),"customs &gt;= "&amp;Rules!$B$3&amp;" days",IF(H532&gt;=Rules!$B$2,"idle &gt;= "&amp;Rules!$B$2&amp;" days",""))))</f>
        <v/>
      </c>
      <c r="J532" s="5">
        <f>IF(I532="","",IF(F532="Address issue",0,COUNTIF($I$2:$I$1001,"address issue"))+COUNTIFS($I$2:$I$1001,"?*",$F$2:$F$1001,IF(F532="Address issue","Address issue","&lt;&gt;Address issue"),$H$2:$H$1001,"&gt;"&amp;H532)+1)</f>
        <v/>
      </c>
    </row>
    <row r="533">
      <c r="A533" s="11" t="n">
        <v>100532</v>
      </c>
      <c r="B533" s="11" t="inlineStr">
        <is>
          <t>Бразилія</t>
        </is>
      </c>
      <c r="C533" s="11" t="inlineStr">
        <is>
          <t>AndesCargo</t>
        </is>
      </c>
      <c r="D533" s="11" t="inlineStr">
        <is>
          <t>AC92233923</t>
        </is>
      </c>
      <c r="E533" s="12" t="n">
        <v>46300</v>
      </c>
      <c r="F533" s="11" t="inlineStr">
        <is>
          <t>Address issue</t>
        </is>
      </c>
      <c r="G533" s="12" t="n">
        <v>46304</v>
      </c>
      <c r="H533" s="5">
        <f>IF(G533="","",Rules!$B$1-G533)</f>
        <v/>
      </c>
      <c r="I533" s="5">
        <f>IF(F533="Address issue","address issue",IF(OR(F533="Delivered",F533="Returned to sender",G533=""),"",IF(AND(Rules!$B$3&lt;&gt;"",F533="Held at customs",H533&gt;=Rules!$B$3),"customs &gt;= "&amp;Rules!$B$3&amp;" days",IF(H533&gt;=Rules!$B$2,"idle &gt;= "&amp;Rules!$B$2&amp;" days",""))))</f>
        <v/>
      </c>
      <c r="J533" s="5">
        <f>IF(I533="","",IF(F533="Address issue",0,COUNTIF($I$2:$I$1001,"address issue"))+COUNTIFS($I$2:$I$1001,"?*",$F$2:$F$1001,IF(F533="Address issue","Address issue","&lt;&gt;Address issue"),$H$2:$H$1001,"&gt;"&amp;H533)+1)</f>
        <v/>
      </c>
    </row>
    <row r="534">
      <c r="A534" s="11" t="n">
        <v>100533</v>
      </c>
      <c r="B534" s="11" t="inlineStr">
        <is>
          <t>Мексика</t>
        </is>
      </c>
      <c r="C534" s="11" t="inlineStr">
        <is>
          <t>AndesCargo</t>
        </is>
      </c>
      <c r="D534" s="11" t="inlineStr">
        <is>
          <t>AC24251346</t>
        </is>
      </c>
      <c r="E534" s="12" t="n">
        <v>46298</v>
      </c>
      <c r="F534" s="11" t="inlineStr">
        <is>
          <t>Delivered</t>
        </is>
      </c>
      <c r="G534" s="12" t="n">
        <v>46301</v>
      </c>
      <c r="H534" s="5">
        <f>IF(G534="","",Rules!$B$1-G534)</f>
        <v/>
      </c>
      <c r="I534" s="5">
        <f>IF(F534="Address issue","address issue",IF(OR(F534="Delivered",F534="Returned to sender",G534=""),"",IF(AND(Rules!$B$3&lt;&gt;"",F534="Held at customs",H534&gt;=Rules!$B$3),"customs &gt;= "&amp;Rules!$B$3&amp;" days",IF(H534&gt;=Rules!$B$2,"idle &gt;= "&amp;Rules!$B$2&amp;" days",""))))</f>
        <v/>
      </c>
      <c r="J534" s="5">
        <f>IF(I534="","",IF(F534="Address issue",0,COUNTIF($I$2:$I$1001,"address issue"))+COUNTIFS($I$2:$I$1001,"?*",$F$2:$F$1001,IF(F534="Address issue","Address issue","&lt;&gt;Address issue"),$H$2:$H$1001,"&gt;"&amp;H534)+1)</f>
        <v/>
      </c>
    </row>
    <row r="535">
      <c r="A535" s="11" t="n">
        <v>100534</v>
      </c>
      <c r="B535" s="11" t="inlineStr">
        <is>
          <t>Мексика</t>
        </is>
      </c>
      <c r="C535" s="11" t="inlineStr">
        <is>
          <t>AndesCargo</t>
        </is>
      </c>
      <c r="D535" s="11" t="inlineStr">
        <is>
          <t>AC93513056</t>
        </is>
      </c>
      <c r="E535" s="13" t="n">
        <v>46305</v>
      </c>
      <c r="F535" s="11" t="inlineStr">
        <is>
          <t>Label created</t>
        </is>
      </c>
      <c r="G535" s="13" t="n">
        <v>46305</v>
      </c>
      <c r="H535" s="5">
        <f>IF(G535="","",Rules!$B$1-G535)</f>
        <v/>
      </c>
      <c r="I535" s="5">
        <f>IF(F535="Address issue","address issue",IF(OR(F535="Delivered",F535="Returned to sender",G535=""),"",IF(AND(Rules!$B$3&lt;&gt;"",F535="Held at customs",H535&gt;=Rules!$B$3),"customs &gt;= "&amp;Rules!$B$3&amp;" days",IF(H535&gt;=Rules!$B$2,"idle &gt;= "&amp;Rules!$B$2&amp;" days",""))))</f>
        <v/>
      </c>
      <c r="J535" s="5">
        <f>IF(I535="","",IF(F535="Address issue",0,COUNTIF($I$2:$I$1001,"address issue"))+COUNTIFS($I$2:$I$1001,"?*",$F$2:$F$1001,IF(F535="Address issue","Address issue","&lt;&gt;Address issue"),$H$2:$H$1001,"&gt;"&amp;H535)+1)</f>
        <v/>
      </c>
    </row>
    <row r="536">
      <c r="A536" s="11" t="n">
        <v>100535</v>
      </c>
      <c r="B536" s="11" t="inlineStr">
        <is>
          <t>Мексика</t>
        </is>
      </c>
      <c r="C536" s="11" t="inlineStr">
        <is>
          <t>AndesCargo</t>
        </is>
      </c>
      <c r="D536" s="11" t="inlineStr">
        <is>
          <t>AC66814964</t>
        </is>
      </c>
      <c r="E536" s="12" t="n">
        <v>46299</v>
      </c>
      <c r="F536" s="11" t="inlineStr">
        <is>
          <t>In transit</t>
        </is>
      </c>
      <c r="G536" s="12" t="n">
        <v>46304</v>
      </c>
      <c r="H536" s="5">
        <f>IF(G536="","",Rules!$B$1-G536)</f>
        <v/>
      </c>
      <c r="I536" s="5">
        <f>IF(F536="Address issue","address issue",IF(OR(F536="Delivered",F536="Returned to sender",G536=""),"",IF(AND(Rules!$B$3&lt;&gt;"",F536="Held at customs",H536&gt;=Rules!$B$3),"customs &gt;= "&amp;Rules!$B$3&amp;" days",IF(H536&gt;=Rules!$B$2,"idle &gt;= "&amp;Rules!$B$2&amp;" days",""))))</f>
        <v/>
      </c>
      <c r="J536" s="5">
        <f>IF(I536="","",IF(F536="Address issue",0,COUNTIF($I$2:$I$1001,"address issue"))+COUNTIFS($I$2:$I$1001,"?*",$F$2:$F$1001,IF(F536="Address issue","Address issue","&lt;&gt;Address issue"),$H$2:$H$1001,"&gt;"&amp;H536)+1)</f>
        <v/>
      </c>
    </row>
    <row r="537">
      <c r="A537" s="11" t="n">
        <v>100536</v>
      </c>
      <c r="B537" s="11" t="inlineStr">
        <is>
          <t>Канада</t>
        </is>
      </c>
      <c r="C537" s="11" t="inlineStr">
        <is>
          <t>PostLink</t>
        </is>
      </c>
      <c r="D537" s="11" t="inlineStr">
        <is>
          <t>PL88790080</t>
        </is>
      </c>
      <c r="E537" s="12" t="n">
        <v>46293</v>
      </c>
      <c r="F537" s="11" t="inlineStr">
        <is>
          <t>Delivered</t>
        </is>
      </c>
      <c r="G537" s="12" t="n">
        <v>46298</v>
      </c>
      <c r="H537" s="5">
        <f>IF(G537="","",Rules!$B$1-G537)</f>
        <v/>
      </c>
      <c r="I537" s="5">
        <f>IF(F537="Address issue","address issue",IF(OR(F537="Delivered",F537="Returned to sender",G537=""),"",IF(AND(Rules!$B$3&lt;&gt;"",F537="Held at customs",H537&gt;=Rules!$B$3),"customs &gt;= "&amp;Rules!$B$3&amp;" days",IF(H537&gt;=Rules!$B$2,"idle &gt;= "&amp;Rules!$B$2&amp;" days",""))))</f>
        <v/>
      </c>
      <c r="J537" s="5">
        <f>IF(I537="","",IF(F537="Address issue",0,COUNTIF($I$2:$I$1001,"address issue"))+COUNTIFS($I$2:$I$1001,"?*",$F$2:$F$1001,IF(F537="Address issue","Address issue","&lt;&gt;Address issue"),$H$2:$H$1001,"&gt;"&amp;H537)+1)</f>
        <v/>
      </c>
    </row>
    <row r="538">
      <c r="A538" s="11" t="n">
        <v>100537</v>
      </c>
      <c r="B538" s="11" t="inlineStr">
        <is>
          <t>Бразилія</t>
        </is>
      </c>
      <c r="C538" s="11" t="inlineStr">
        <is>
          <t>SwiftParcel</t>
        </is>
      </c>
      <c r="D538" s="11" t="inlineStr">
        <is>
          <t>SP9283796</t>
        </is>
      </c>
      <c r="E538" s="12" t="n">
        <v>46293</v>
      </c>
      <c r="F538" s="11" t="inlineStr">
        <is>
          <t>Address issue</t>
        </is>
      </c>
      <c r="G538" s="12" t="n">
        <v>46300</v>
      </c>
      <c r="H538" s="5">
        <f>IF(G538="","",Rules!$B$1-G538)</f>
        <v/>
      </c>
      <c r="I538" s="5">
        <f>IF(F538="Address issue","address issue",IF(OR(F538="Delivered",F538="Returned to sender",G538=""),"",IF(AND(Rules!$B$3&lt;&gt;"",F538="Held at customs",H538&gt;=Rules!$B$3),"customs &gt;= "&amp;Rules!$B$3&amp;" days",IF(H538&gt;=Rules!$B$2,"idle &gt;= "&amp;Rules!$B$2&amp;" days",""))))</f>
        <v/>
      </c>
      <c r="J538" s="5">
        <f>IF(I538="","",IF(F538="Address issue",0,COUNTIF($I$2:$I$1001,"address issue"))+COUNTIFS($I$2:$I$1001,"?*",$F$2:$F$1001,IF(F538="Address issue","Address issue","&lt;&gt;Address issue"),$H$2:$H$1001,"&gt;"&amp;H538)+1)</f>
        <v/>
      </c>
    </row>
    <row r="539">
      <c r="A539" s="11" t="n">
        <v>100538</v>
      </c>
      <c r="B539" s="11" t="inlineStr">
        <is>
          <t>Мексика</t>
        </is>
      </c>
      <c r="C539" s="11" t="inlineStr">
        <is>
          <t>AndesCargo</t>
        </is>
      </c>
      <c r="D539" s="11" t="inlineStr">
        <is>
          <t>AC98518119</t>
        </is>
      </c>
      <c r="E539" s="12" t="n">
        <v>46296</v>
      </c>
      <c r="F539" s="11" t="inlineStr">
        <is>
          <t>Held at customs</t>
        </is>
      </c>
      <c r="G539" s="12" t="n">
        <v>46299</v>
      </c>
      <c r="H539" s="5">
        <f>IF(G539="","",Rules!$B$1-G539)</f>
        <v/>
      </c>
      <c r="I539" s="5">
        <f>IF(F539="Address issue","address issue",IF(OR(F539="Delivered",F539="Returned to sender",G539=""),"",IF(AND(Rules!$B$3&lt;&gt;"",F539="Held at customs",H539&gt;=Rules!$B$3),"customs &gt;= "&amp;Rules!$B$3&amp;" days",IF(H539&gt;=Rules!$B$2,"idle &gt;= "&amp;Rules!$B$2&amp;" days",""))))</f>
        <v/>
      </c>
      <c r="J539" s="5">
        <f>IF(I539="","",IF(F539="Address issue",0,COUNTIF($I$2:$I$1001,"address issue"))+COUNTIFS($I$2:$I$1001,"?*",$F$2:$F$1001,IF(F539="Address issue","Address issue","&lt;&gt;Address issue"),$H$2:$H$1001,"&gt;"&amp;H539)+1)</f>
        <v/>
      </c>
    </row>
    <row r="540">
      <c r="A540" s="11" t="n">
        <v>100539</v>
      </c>
      <c r="B540" s="11" t="inlineStr">
        <is>
          <t>Бразилія</t>
        </is>
      </c>
      <c r="C540" s="11" t="inlineStr">
        <is>
          <t>SwiftParcel</t>
        </is>
      </c>
      <c r="D540" s="11" t="inlineStr">
        <is>
          <t>SP6012996</t>
        </is>
      </c>
      <c r="E540" s="12" t="n">
        <v>46303</v>
      </c>
      <c r="F540" s="11" t="inlineStr">
        <is>
          <t>In transit</t>
        </is>
      </c>
      <c r="G540" s="12" t="n">
        <v>46304</v>
      </c>
      <c r="H540" s="5">
        <f>IF(G540="","",Rules!$B$1-G540)</f>
        <v/>
      </c>
      <c r="I540" s="5">
        <f>IF(F540="Address issue","address issue",IF(OR(F540="Delivered",F540="Returned to sender",G540=""),"",IF(AND(Rules!$B$3&lt;&gt;"",F540="Held at customs",H540&gt;=Rules!$B$3),"customs &gt;= "&amp;Rules!$B$3&amp;" days",IF(H540&gt;=Rules!$B$2,"idle &gt;= "&amp;Rules!$B$2&amp;" days",""))))</f>
        <v/>
      </c>
      <c r="J540" s="5">
        <f>IF(I540="","",IF(F540="Address issue",0,COUNTIF($I$2:$I$1001,"address issue"))+COUNTIFS($I$2:$I$1001,"?*",$F$2:$F$1001,IF(F540="Address issue","Address issue","&lt;&gt;Address issue"),$H$2:$H$1001,"&gt;"&amp;H540)+1)</f>
        <v/>
      </c>
    </row>
    <row r="541">
      <c r="A541" s="11" t="n">
        <v>100540</v>
      </c>
      <c r="B541" s="11" t="inlineStr">
        <is>
          <t>Мексика</t>
        </is>
      </c>
      <c r="C541" s="11" t="inlineStr">
        <is>
          <t>AndesCargo</t>
        </is>
      </c>
      <c r="D541" s="11" t="inlineStr">
        <is>
          <t>AC50785510</t>
        </is>
      </c>
      <c r="E541" s="12" t="n">
        <v>46273</v>
      </c>
      <c r="F541" s="11" t="inlineStr">
        <is>
          <t>Delivered</t>
        </is>
      </c>
      <c r="G541" s="12" t="n">
        <v>46284</v>
      </c>
      <c r="H541" s="5">
        <f>IF(G541="","",Rules!$B$1-G541)</f>
        <v/>
      </c>
      <c r="I541" s="5">
        <f>IF(F541="Address issue","address issue",IF(OR(F541="Delivered",F541="Returned to sender",G541=""),"",IF(AND(Rules!$B$3&lt;&gt;"",F541="Held at customs",H541&gt;=Rules!$B$3),"customs &gt;= "&amp;Rules!$B$3&amp;" days",IF(H541&gt;=Rules!$B$2,"idle &gt;= "&amp;Rules!$B$2&amp;" days",""))))</f>
        <v/>
      </c>
      <c r="J541" s="5">
        <f>IF(I541="","",IF(F541="Address issue",0,COUNTIF($I$2:$I$1001,"address issue"))+COUNTIFS($I$2:$I$1001,"?*",$F$2:$F$1001,IF(F541="Address issue","Address issue","&lt;&gt;Address issue"),$H$2:$H$1001,"&gt;"&amp;H541)+1)</f>
        <v/>
      </c>
    </row>
    <row r="542">
      <c r="A542" s="11" t="n">
        <v>100541</v>
      </c>
      <c r="B542" s="11" t="inlineStr">
        <is>
          <t>Канада</t>
        </is>
      </c>
      <c r="C542" s="11" t="inlineStr">
        <is>
          <t>PostLink</t>
        </is>
      </c>
      <c r="D542" s="11" t="inlineStr">
        <is>
          <t>PL38306608</t>
        </is>
      </c>
      <c r="E542" s="12" t="n">
        <v>46286</v>
      </c>
      <c r="F542" s="11" t="inlineStr">
        <is>
          <t>Delivered</t>
        </is>
      </c>
      <c r="G542" s="12" t="n">
        <v>46294</v>
      </c>
      <c r="H542" s="5">
        <f>IF(G542="","",Rules!$B$1-G542)</f>
        <v/>
      </c>
      <c r="I542" s="5">
        <f>IF(F542="Address issue","address issue",IF(OR(F542="Delivered",F542="Returned to sender",G542=""),"",IF(AND(Rules!$B$3&lt;&gt;"",F542="Held at customs",H542&gt;=Rules!$B$3),"customs &gt;= "&amp;Rules!$B$3&amp;" days",IF(H542&gt;=Rules!$B$2,"idle &gt;= "&amp;Rules!$B$2&amp;" days",""))))</f>
        <v/>
      </c>
      <c r="J542" s="5">
        <f>IF(I542="","",IF(F542="Address issue",0,COUNTIF($I$2:$I$1001,"address issue"))+COUNTIFS($I$2:$I$1001,"?*",$F$2:$F$1001,IF(F542="Address issue","Address issue","&lt;&gt;Address issue"),$H$2:$H$1001,"&gt;"&amp;H542)+1)</f>
        <v/>
      </c>
    </row>
    <row r="543">
      <c r="A543" s="11" t="n">
        <v>100542</v>
      </c>
      <c r="B543" s="11" t="inlineStr">
        <is>
          <t>Бразилія</t>
        </is>
      </c>
      <c r="C543" s="11" t="inlineStr">
        <is>
          <t>SwiftParcel</t>
        </is>
      </c>
      <c r="D543" s="11" t="inlineStr">
        <is>
          <t>SP5943083</t>
        </is>
      </c>
      <c r="E543" s="12" t="n">
        <v>46269</v>
      </c>
      <c r="F543" s="11" t="inlineStr">
        <is>
          <t>Delivered</t>
        </is>
      </c>
      <c r="G543" s="12" t="n">
        <v>46281</v>
      </c>
      <c r="H543" s="5">
        <f>IF(G543="","",Rules!$B$1-G543)</f>
        <v/>
      </c>
      <c r="I543" s="5">
        <f>IF(F543="Address issue","address issue",IF(OR(F543="Delivered",F543="Returned to sender",G543=""),"",IF(AND(Rules!$B$3&lt;&gt;"",F543="Held at customs",H543&gt;=Rules!$B$3),"customs &gt;= "&amp;Rules!$B$3&amp;" days",IF(H543&gt;=Rules!$B$2,"idle &gt;= "&amp;Rules!$B$2&amp;" days",""))))</f>
        <v/>
      </c>
      <c r="J543" s="5">
        <f>IF(I543="","",IF(F543="Address issue",0,COUNTIF($I$2:$I$1001,"address issue"))+COUNTIFS($I$2:$I$1001,"?*",$F$2:$F$1001,IF(F543="Address issue","Address issue","&lt;&gt;Address issue"),$H$2:$H$1001,"&gt;"&amp;H543)+1)</f>
        <v/>
      </c>
    </row>
    <row r="544">
      <c r="A544" s="11" t="n">
        <v>100543</v>
      </c>
      <c r="B544" s="11" t="inlineStr">
        <is>
          <t>Канада</t>
        </is>
      </c>
      <c r="C544" s="11" t="inlineStr">
        <is>
          <t>PostLink</t>
        </is>
      </c>
      <c r="D544" s="11" t="inlineStr">
        <is>
          <t>PL54831333</t>
        </is>
      </c>
      <c r="E544" s="12" t="n">
        <v>46294</v>
      </c>
      <c r="F544" s="11" t="inlineStr">
        <is>
          <t>Delivered</t>
        </is>
      </c>
      <c r="G544" s="12" t="n">
        <v>46301</v>
      </c>
      <c r="H544" s="5">
        <f>IF(G544="","",Rules!$B$1-G544)</f>
        <v/>
      </c>
      <c r="I544" s="5">
        <f>IF(F544="Address issue","address issue",IF(OR(F544="Delivered",F544="Returned to sender",G544=""),"",IF(AND(Rules!$B$3&lt;&gt;"",F544="Held at customs",H544&gt;=Rules!$B$3),"customs &gt;= "&amp;Rules!$B$3&amp;" days",IF(H544&gt;=Rules!$B$2,"idle &gt;= "&amp;Rules!$B$2&amp;" days",""))))</f>
        <v/>
      </c>
      <c r="J544" s="5">
        <f>IF(I544="","",IF(F544="Address issue",0,COUNTIF($I$2:$I$1001,"address issue"))+COUNTIFS($I$2:$I$1001,"?*",$F$2:$F$1001,IF(F544="Address issue","Address issue","&lt;&gt;Address issue"),$H$2:$H$1001,"&gt;"&amp;H544)+1)</f>
        <v/>
      </c>
    </row>
    <row r="545">
      <c r="A545" s="11" t="n">
        <v>100544</v>
      </c>
      <c r="B545" s="11" t="inlineStr">
        <is>
          <t>Канада</t>
        </is>
      </c>
      <c r="C545" s="11" t="inlineStr">
        <is>
          <t>PostLink</t>
        </is>
      </c>
      <c r="D545" s="11" t="inlineStr">
        <is>
          <t>PL98226714</t>
        </is>
      </c>
      <c r="E545" s="12" t="n">
        <v>46272</v>
      </c>
      <c r="F545" s="11" t="inlineStr">
        <is>
          <t>Delivered</t>
        </is>
      </c>
      <c r="G545" s="12" t="n">
        <v>46282</v>
      </c>
      <c r="H545" s="5">
        <f>IF(G545="","",Rules!$B$1-G545)</f>
        <v/>
      </c>
      <c r="I545" s="5">
        <f>IF(F545="Address issue","address issue",IF(OR(F545="Delivered",F545="Returned to sender",G545=""),"",IF(AND(Rules!$B$3&lt;&gt;"",F545="Held at customs",H545&gt;=Rules!$B$3),"customs &gt;= "&amp;Rules!$B$3&amp;" days",IF(H545&gt;=Rules!$B$2,"idle &gt;= "&amp;Rules!$B$2&amp;" days",""))))</f>
        <v/>
      </c>
      <c r="J545" s="5">
        <f>IF(I545="","",IF(F545="Address issue",0,COUNTIF($I$2:$I$1001,"address issue"))+COUNTIFS($I$2:$I$1001,"?*",$F$2:$F$1001,IF(F545="Address issue","Address issue","&lt;&gt;Address issue"),$H$2:$H$1001,"&gt;"&amp;H545)+1)</f>
        <v/>
      </c>
    </row>
    <row r="546">
      <c r="A546" s="11" t="n">
        <v>100545</v>
      </c>
      <c r="B546" s="11" t="inlineStr">
        <is>
          <t>Мексика</t>
        </is>
      </c>
      <c r="C546" s="11" t="inlineStr">
        <is>
          <t>AndesCargo</t>
        </is>
      </c>
      <c r="D546" s="11" t="inlineStr">
        <is>
          <t>AC15310700</t>
        </is>
      </c>
      <c r="E546" s="12" t="n">
        <v>46296</v>
      </c>
      <c r="F546" s="11" t="inlineStr">
        <is>
          <t>Delivered</t>
        </is>
      </c>
      <c r="G546" s="13" t="n">
        <v>46305</v>
      </c>
      <c r="H546" s="5">
        <f>IF(G546="","",Rules!$B$1-G546)</f>
        <v/>
      </c>
      <c r="I546" s="5">
        <f>IF(F546="Address issue","address issue",IF(OR(F546="Delivered",F546="Returned to sender",G546=""),"",IF(AND(Rules!$B$3&lt;&gt;"",F546="Held at customs",H546&gt;=Rules!$B$3),"customs &gt;= "&amp;Rules!$B$3&amp;" days",IF(H546&gt;=Rules!$B$2,"idle &gt;= "&amp;Rules!$B$2&amp;" days",""))))</f>
        <v/>
      </c>
      <c r="J546" s="5">
        <f>IF(I546="","",IF(F546="Address issue",0,COUNTIF($I$2:$I$1001,"address issue"))+COUNTIFS($I$2:$I$1001,"?*",$F$2:$F$1001,IF(F546="Address issue","Address issue","&lt;&gt;Address issue"),$H$2:$H$1001,"&gt;"&amp;H546)+1)</f>
        <v/>
      </c>
    </row>
    <row r="547">
      <c r="A547" s="11" t="n">
        <v>100546</v>
      </c>
      <c r="B547" s="11" t="inlineStr">
        <is>
          <t>Бразилія</t>
        </is>
      </c>
      <c r="C547" s="11" t="inlineStr">
        <is>
          <t>SwiftParcel</t>
        </is>
      </c>
      <c r="D547" s="11" t="inlineStr">
        <is>
          <t>SP1857271</t>
        </is>
      </c>
      <c r="E547" s="12" t="n">
        <v>46273</v>
      </c>
      <c r="F547" s="11" t="inlineStr">
        <is>
          <t>Delivered</t>
        </is>
      </c>
      <c r="G547" s="12" t="n">
        <v>46281</v>
      </c>
      <c r="H547" s="5">
        <f>IF(G547="","",Rules!$B$1-G547)</f>
        <v/>
      </c>
      <c r="I547" s="5">
        <f>IF(F547="Address issue","address issue",IF(OR(F547="Delivered",F547="Returned to sender",G547=""),"",IF(AND(Rules!$B$3&lt;&gt;"",F547="Held at customs",H547&gt;=Rules!$B$3),"customs &gt;= "&amp;Rules!$B$3&amp;" days",IF(H547&gt;=Rules!$B$2,"idle &gt;= "&amp;Rules!$B$2&amp;" days",""))))</f>
        <v/>
      </c>
      <c r="J547" s="5">
        <f>IF(I547="","",IF(F547="Address issue",0,COUNTIF($I$2:$I$1001,"address issue"))+COUNTIFS($I$2:$I$1001,"?*",$F$2:$F$1001,IF(F547="Address issue","Address issue","&lt;&gt;Address issue"),$H$2:$H$1001,"&gt;"&amp;H547)+1)</f>
        <v/>
      </c>
    </row>
    <row r="548">
      <c r="A548" s="11" t="n">
        <v>100547</v>
      </c>
      <c r="B548" s="11" t="inlineStr">
        <is>
          <t>Мексика</t>
        </is>
      </c>
      <c r="C548" s="11" t="inlineStr">
        <is>
          <t>AndesCargo</t>
        </is>
      </c>
      <c r="D548" s="11" t="inlineStr">
        <is>
          <t>AC92892388</t>
        </is>
      </c>
      <c r="E548" s="12" t="n">
        <v>46293</v>
      </c>
      <c r="F548" s="11" t="inlineStr">
        <is>
          <t>Delivered</t>
        </is>
      </c>
      <c r="G548" s="12" t="n">
        <v>46297</v>
      </c>
      <c r="H548" s="5">
        <f>IF(G548="","",Rules!$B$1-G548)</f>
        <v/>
      </c>
      <c r="I548" s="5">
        <f>IF(F548="Address issue","address issue",IF(OR(F548="Delivered",F548="Returned to sender",G548=""),"",IF(AND(Rules!$B$3&lt;&gt;"",F548="Held at customs",H548&gt;=Rules!$B$3),"customs &gt;= "&amp;Rules!$B$3&amp;" days",IF(H548&gt;=Rules!$B$2,"idle &gt;= "&amp;Rules!$B$2&amp;" days",""))))</f>
        <v/>
      </c>
      <c r="J548" s="5">
        <f>IF(I548="","",IF(F548="Address issue",0,COUNTIF($I$2:$I$1001,"address issue"))+COUNTIFS($I$2:$I$1001,"?*",$F$2:$F$1001,IF(F548="Address issue","Address issue","&lt;&gt;Address issue"),$H$2:$H$1001,"&gt;"&amp;H548)+1)</f>
        <v/>
      </c>
    </row>
    <row r="549">
      <c r="A549" s="11" t="n">
        <v>100548</v>
      </c>
      <c r="B549" s="11" t="inlineStr">
        <is>
          <t>Канада</t>
        </is>
      </c>
      <c r="C549" s="11" t="inlineStr">
        <is>
          <t>PostLink</t>
        </is>
      </c>
      <c r="D549" s="11" t="inlineStr">
        <is>
          <t>PL56222687</t>
        </is>
      </c>
      <c r="E549" s="12" t="n">
        <v>46278</v>
      </c>
      <c r="F549" s="11" t="inlineStr">
        <is>
          <t>Delivered</t>
        </is>
      </c>
      <c r="G549" s="12" t="n">
        <v>46281</v>
      </c>
      <c r="H549" s="5">
        <f>IF(G549="","",Rules!$B$1-G549)</f>
        <v/>
      </c>
      <c r="I549" s="5">
        <f>IF(F549="Address issue","address issue",IF(OR(F549="Delivered",F549="Returned to sender",G549=""),"",IF(AND(Rules!$B$3&lt;&gt;"",F549="Held at customs",H549&gt;=Rules!$B$3),"customs &gt;= "&amp;Rules!$B$3&amp;" days",IF(H549&gt;=Rules!$B$2,"idle &gt;= "&amp;Rules!$B$2&amp;" days",""))))</f>
        <v/>
      </c>
      <c r="J549" s="5">
        <f>IF(I549="","",IF(F549="Address issue",0,COUNTIF($I$2:$I$1001,"address issue"))+COUNTIFS($I$2:$I$1001,"?*",$F$2:$F$1001,IF(F549="Address issue","Address issue","&lt;&gt;Address issue"),$H$2:$H$1001,"&gt;"&amp;H549)+1)</f>
        <v/>
      </c>
    </row>
    <row r="550">
      <c r="A550" s="11" t="n">
        <v>100549</v>
      </c>
      <c r="B550" s="11" t="inlineStr">
        <is>
          <t>Бразилія</t>
        </is>
      </c>
      <c r="C550" s="11" t="inlineStr">
        <is>
          <t>SwiftParcel</t>
        </is>
      </c>
      <c r="D550" s="11" t="inlineStr">
        <is>
          <t>SP9729508</t>
        </is>
      </c>
      <c r="E550" s="12" t="n">
        <v>46291</v>
      </c>
      <c r="F550" s="11" t="inlineStr">
        <is>
          <t>Delivered</t>
        </is>
      </c>
      <c r="G550" s="12" t="n">
        <v>46297</v>
      </c>
      <c r="H550" s="5">
        <f>IF(G550="","",Rules!$B$1-G550)</f>
        <v/>
      </c>
      <c r="I550" s="5">
        <f>IF(F550="Address issue","address issue",IF(OR(F550="Delivered",F550="Returned to sender",G550=""),"",IF(AND(Rules!$B$3&lt;&gt;"",F550="Held at customs",H550&gt;=Rules!$B$3),"customs &gt;= "&amp;Rules!$B$3&amp;" days",IF(H550&gt;=Rules!$B$2,"idle &gt;= "&amp;Rules!$B$2&amp;" days",""))))</f>
        <v/>
      </c>
      <c r="J550" s="5">
        <f>IF(I550="","",IF(F550="Address issue",0,COUNTIF($I$2:$I$1001,"address issue"))+COUNTIFS($I$2:$I$1001,"?*",$F$2:$F$1001,IF(F550="Address issue","Address issue","&lt;&gt;Address issue"),$H$2:$H$1001,"&gt;"&amp;H550)+1)</f>
        <v/>
      </c>
    </row>
    <row r="551">
      <c r="A551" s="11" t="n">
        <v>100550</v>
      </c>
      <c r="B551" s="11" t="inlineStr">
        <is>
          <t>Мексика</t>
        </is>
      </c>
      <c r="C551" s="11" t="inlineStr">
        <is>
          <t>AndesCargo</t>
        </is>
      </c>
      <c r="D551" s="11" t="inlineStr">
        <is>
          <t>AC13498673</t>
        </is>
      </c>
      <c r="E551" s="12" t="n">
        <v>46280</v>
      </c>
      <c r="F551" s="11" t="inlineStr">
        <is>
          <t>Delivered</t>
        </is>
      </c>
      <c r="G551" s="12" t="n">
        <v>46290</v>
      </c>
      <c r="H551" s="5">
        <f>IF(G551="","",Rules!$B$1-G551)</f>
        <v/>
      </c>
      <c r="I551" s="5">
        <f>IF(F551="Address issue","address issue",IF(OR(F551="Delivered",F551="Returned to sender",G551=""),"",IF(AND(Rules!$B$3&lt;&gt;"",F551="Held at customs",H551&gt;=Rules!$B$3),"customs &gt;= "&amp;Rules!$B$3&amp;" days",IF(H551&gt;=Rules!$B$2,"idle &gt;= "&amp;Rules!$B$2&amp;" days",""))))</f>
        <v/>
      </c>
      <c r="J551" s="5">
        <f>IF(I551="","",IF(F551="Address issue",0,COUNTIF($I$2:$I$1001,"address issue"))+COUNTIFS($I$2:$I$1001,"?*",$F$2:$F$1001,IF(F551="Address issue","Address issue","&lt;&gt;Address issue"),$H$2:$H$1001,"&gt;"&amp;H551)+1)</f>
        <v/>
      </c>
    </row>
    <row r="552">
      <c r="A552" s="11" t="n">
        <v>100551</v>
      </c>
      <c r="B552" s="11" t="inlineStr">
        <is>
          <t>Мексика</t>
        </is>
      </c>
      <c r="C552" s="11" t="inlineStr">
        <is>
          <t>AndesCargo</t>
        </is>
      </c>
      <c r="D552" s="11" t="inlineStr">
        <is>
          <t>AC67559461</t>
        </is>
      </c>
      <c r="E552" s="12" t="n">
        <v>46300</v>
      </c>
      <c r="F552" s="11" t="inlineStr">
        <is>
          <t>Out for delivery</t>
        </is>
      </c>
      <c r="G552" s="12" t="n">
        <v>46304</v>
      </c>
      <c r="H552" s="5">
        <f>IF(G552="","",Rules!$B$1-G552)</f>
        <v/>
      </c>
      <c r="I552" s="5">
        <f>IF(F552="Address issue","address issue",IF(OR(F552="Delivered",F552="Returned to sender",G552=""),"",IF(AND(Rules!$B$3&lt;&gt;"",F552="Held at customs",H552&gt;=Rules!$B$3),"customs &gt;= "&amp;Rules!$B$3&amp;" days",IF(H552&gt;=Rules!$B$2,"idle &gt;= "&amp;Rules!$B$2&amp;" days",""))))</f>
        <v/>
      </c>
      <c r="J552" s="5">
        <f>IF(I552="","",IF(F552="Address issue",0,COUNTIF($I$2:$I$1001,"address issue"))+COUNTIFS($I$2:$I$1001,"?*",$F$2:$F$1001,IF(F552="Address issue","Address issue","&lt;&gt;Address issue"),$H$2:$H$1001,"&gt;"&amp;H552)+1)</f>
        <v/>
      </c>
    </row>
    <row r="553">
      <c r="A553" s="11" t="n">
        <v>100552</v>
      </c>
      <c r="B553" s="11" t="inlineStr">
        <is>
          <t>Мексика</t>
        </is>
      </c>
      <c r="C553" s="11" t="inlineStr">
        <is>
          <t>AndesCargo</t>
        </is>
      </c>
      <c r="D553" s="11" t="inlineStr">
        <is>
          <t>AC62395855</t>
        </is>
      </c>
      <c r="E553" s="12" t="n">
        <v>46299</v>
      </c>
      <c r="F553" s="11" t="inlineStr">
        <is>
          <t>Delivered</t>
        </is>
      </c>
      <c r="G553" s="13" t="n">
        <v>46309</v>
      </c>
      <c r="H553" s="5">
        <f>IF(G553="","",Rules!$B$1-G553)</f>
        <v/>
      </c>
      <c r="I553" s="5">
        <f>IF(F553="Address issue","address issue",IF(OR(F553="Delivered",F553="Returned to sender",G553=""),"",IF(AND(Rules!$B$3&lt;&gt;"",F553="Held at customs",H553&gt;=Rules!$B$3),"customs &gt;= "&amp;Rules!$B$3&amp;" days",IF(H553&gt;=Rules!$B$2,"idle &gt;= "&amp;Rules!$B$2&amp;" days",""))))</f>
        <v/>
      </c>
      <c r="J553" s="5">
        <f>IF(I553="","",IF(F553="Address issue",0,COUNTIF($I$2:$I$1001,"address issue"))+COUNTIFS($I$2:$I$1001,"?*",$F$2:$F$1001,IF(F553="Address issue","Address issue","&lt;&gt;Address issue"),$H$2:$H$1001,"&gt;"&amp;H553)+1)</f>
        <v/>
      </c>
    </row>
    <row r="554">
      <c r="A554" s="11" t="n">
        <v>100553</v>
      </c>
      <c r="B554" s="11" t="inlineStr">
        <is>
          <t>Бразилія</t>
        </is>
      </c>
      <c r="C554" s="11" t="inlineStr">
        <is>
          <t>AndesCargo</t>
        </is>
      </c>
      <c r="D554" s="11" t="inlineStr">
        <is>
          <t>AC48636991</t>
        </is>
      </c>
      <c r="E554" s="12" t="n">
        <v>46303</v>
      </c>
      <c r="F554" s="11" t="inlineStr">
        <is>
          <t>In transit</t>
        </is>
      </c>
      <c r="G554" s="13" t="n">
        <v>46310</v>
      </c>
      <c r="H554" s="5">
        <f>IF(G554="","",Rules!$B$1-G554)</f>
        <v/>
      </c>
      <c r="I554" s="5">
        <f>IF(F554="Address issue","address issue",IF(OR(F554="Delivered",F554="Returned to sender",G554=""),"",IF(AND(Rules!$B$3&lt;&gt;"",F554="Held at customs",H554&gt;=Rules!$B$3),"customs &gt;= "&amp;Rules!$B$3&amp;" days",IF(H554&gt;=Rules!$B$2,"idle &gt;= "&amp;Rules!$B$2&amp;" days",""))))</f>
        <v/>
      </c>
      <c r="J554" s="5">
        <f>IF(I554="","",IF(F554="Address issue",0,COUNTIF($I$2:$I$1001,"address issue"))+COUNTIFS($I$2:$I$1001,"?*",$F$2:$F$1001,IF(F554="Address issue","Address issue","&lt;&gt;Address issue"),$H$2:$H$1001,"&gt;"&amp;H554)+1)</f>
        <v/>
      </c>
    </row>
    <row r="555">
      <c r="A555" s="11" t="n">
        <v>100554</v>
      </c>
      <c r="B555" s="11" t="inlineStr">
        <is>
          <t>Бразилія</t>
        </is>
      </c>
      <c r="C555" s="11" t="inlineStr">
        <is>
          <t>SwiftParcel</t>
        </is>
      </c>
      <c r="D555" s="11" t="inlineStr">
        <is>
          <t>SP8034412</t>
        </is>
      </c>
      <c r="E555" s="12" t="n">
        <v>46301</v>
      </c>
      <c r="F555" s="11" t="inlineStr">
        <is>
          <t>Address issue</t>
        </is>
      </c>
      <c r="G555" s="13" t="n">
        <v>46307</v>
      </c>
      <c r="H555" s="5">
        <f>IF(G555="","",Rules!$B$1-G555)</f>
        <v/>
      </c>
      <c r="I555" s="5">
        <f>IF(F555="Address issue","address issue",IF(OR(F555="Delivered",F555="Returned to sender",G555=""),"",IF(AND(Rules!$B$3&lt;&gt;"",F555="Held at customs",H555&gt;=Rules!$B$3),"customs &gt;= "&amp;Rules!$B$3&amp;" days",IF(H555&gt;=Rules!$B$2,"idle &gt;= "&amp;Rules!$B$2&amp;" days",""))))</f>
        <v/>
      </c>
      <c r="J555" s="5">
        <f>IF(I555="","",IF(F555="Address issue",0,COUNTIF($I$2:$I$1001,"address issue"))+COUNTIFS($I$2:$I$1001,"?*",$F$2:$F$1001,IF(F555="Address issue","Address issue","&lt;&gt;Address issue"),$H$2:$H$1001,"&gt;"&amp;H555)+1)</f>
        <v/>
      </c>
    </row>
    <row r="556">
      <c r="A556" s="11" t="n">
        <v>100555</v>
      </c>
      <c r="B556" s="11" t="inlineStr">
        <is>
          <t>Канада</t>
        </is>
      </c>
      <c r="C556" s="11" t="inlineStr">
        <is>
          <t>PostLink</t>
        </is>
      </c>
      <c r="D556" s="11" t="inlineStr">
        <is>
          <t>PL78633488</t>
        </is>
      </c>
      <c r="E556" s="12" t="n">
        <v>46292</v>
      </c>
      <c r="F556" s="11" t="inlineStr">
        <is>
          <t>Delivered</t>
        </is>
      </c>
      <c r="G556" s="12" t="n">
        <v>46304</v>
      </c>
      <c r="H556" s="5">
        <f>IF(G556="","",Rules!$B$1-G556)</f>
        <v/>
      </c>
      <c r="I556" s="5">
        <f>IF(F556="Address issue","address issue",IF(OR(F556="Delivered",F556="Returned to sender",G556=""),"",IF(AND(Rules!$B$3&lt;&gt;"",F556="Held at customs",H556&gt;=Rules!$B$3),"customs &gt;= "&amp;Rules!$B$3&amp;" days",IF(H556&gt;=Rules!$B$2,"idle &gt;= "&amp;Rules!$B$2&amp;" days",""))))</f>
        <v/>
      </c>
      <c r="J556" s="5">
        <f>IF(I556="","",IF(F556="Address issue",0,COUNTIF($I$2:$I$1001,"address issue"))+COUNTIFS($I$2:$I$1001,"?*",$F$2:$F$1001,IF(F556="Address issue","Address issue","&lt;&gt;Address issue"),$H$2:$H$1001,"&gt;"&amp;H556)+1)</f>
        <v/>
      </c>
    </row>
    <row r="557">
      <c r="A557" s="11" t="n">
        <v>100556</v>
      </c>
      <c r="B557" s="11" t="inlineStr">
        <is>
          <t>Мексика</t>
        </is>
      </c>
      <c r="C557" s="11" t="inlineStr">
        <is>
          <t>AndesCargo</t>
        </is>
      </c>
      <c r="D557" s="11" t="inlineStr">
        <is>
          <t>AC97819893</t>
        </is>
      </c>
      <c r="E557" s="12" t="n">
        <v>46281</v>
      </c>
      <c r="F557" s="11" t="inlineStr">
        <is>
          <t>Delivered</t>
        </is>
      </c>
      <c r="G557" s="12" t="n">
        <v>46290</v>
      </c>
      <c r="H557" s="5">
        <f>IF(G557="","",Rules!$B$1-G557)</f>
        <v/>
      </c>
      <c r="I557" s="5">
        <f>IF(F557="Address issue","address issue",IF(OR(F557="Delivered",F557="Returned to sender",G557=""),"",IF(AND(Rules!$B$3&lt;&gt;"",F557="Held at customs",H557&gt;=Rules!$B$3),"customs &gt;= "&amp;Rules!$B$3&amp;" days",IF(H557&gt;=Rules!$B$2,"idle &gt;= "&amp;Rules!$B$2&amp;" days",""))))</f>
        <v/>
      </c>
      <c r="J557" s="5">
        <f>IF(I557="","",IF(F557="Address issue",0,COUNTIF($I$2:$I$1001,"address issue"))+COUNTIFS($I$2:$I$1001,"?*",$F$2:$F$1001,IF(F557="Address issue","Address issue","&lt;&gt;Address issue"),$H$2:$H$1001,"&gt;"&amp;H557)+1)</f>
        <v/>
      </c>
    </row>
    <row r="558">
      <c r="A558" s="11" t="n">
        <v>100557</v>
      </c>
      <c r="B558" s="11" t="inlineStr">
        <is>
          <t>Мексика</t>
        </is>
      </c>
      <c r="C558" s="11" t="inlineStr">
        <is>
          <t>AndesCargo</t>
        </is>
      </c>
      <c r="D558" s="11" t="inlineStr">
        <is>
          <t>AC19693838</t>
        </is>
      </c>
      <c r="E558" s="12" t="n">
        <v>46294</v>
      </c>
      <c r="F558" s="11" t="inlineStr">
        <is>
          <t>Address issue</t>
        </is>
      </c>
      <c r="G558" s="12" t="n">
        <v>46302</v>
      </c>
      <c r="H558" s="5">
        <f>IF(G558="","",Rules!$B$1-G558)</f>
        <v/>
      </c>
      <c r="I558" s="5">
        <f>IF(F558="Address issue","address issue",IF(OR(F558="Delivered",F558="Returned to sender",G558=""),"",IF(AND(Rules!$B$3&lt;&gt;"",F558="Held at customs",H558&gt;=Rules!$B$3),"customs &gt;= "&amp;Rules!$B$3&amp;" days",IF(H558&gt;=Rules!$B$2,"idle &gt;= "&amp;Rules!$B$2&amp;" days",""))))</f>
        <v/>
      </c>
      <c r="J558" s="5">
        <f>IF(I558="","",IF(F558="Address issue",0,COUNTIF($I$2:$I$1001,"address issue"))+COUNTIFS($I$2:$I$1001,"?*",$F$2:$F$1001,IF(F558="Address issue","Address issue","&lt;&gt;Address issue"),$H$2:$H$1001,"&gt;"&amp;H558)+1)</f>
        <v/>
      </c>
    </row>
    <row r="559">
      <c r="A559" s="11" t="n">
        <v>100558</v>
      </c>
      <c r="B559" s="11" t="inlineStr">
        <is>
          <t>Мексика</t>
        </is>
      </c>
      <c r="C559" s="11" t="inlineStr">
        <is>
          <t>AndesCargo</t>
        </is>
      </c>
      <c r="D559" s="11" t="inlineStr">
        <is>
          <t>AC44312380</t>
        </is>
      </c>
      <c r="E559" s="12" t="n">
        <v>46292</v>
      </c>
      <c r="F559" s="11" t="inlineStr">
        <is>
          <t>Delivered</t>
        </is>
      </c>
      <c r="G559" s="12" t="n">
        <v>46298</v>
      </c>
      <c r="H559" s="5">
        <f>IF(G559="","",Rules!$B$1-G559)</f>
        <v/>
      </c>
      <c r="I559" s="5">
        <f>IF(F559="Address issue","address issue",IF(OR(F559="Delivered",F559="Returned to sender",G559=""),"",IF(AND(Rules!$B$3&lt;&gt;"",F559="Held at customs",H559&gt;=Rules!$B$3),"customs &gt;= "&amp;Rules!$B$3&amp;" days",IF(H559&gt;=Rules!$B$2,"idle &gt;= "&amp;Rules!$B$2&amp;" days",""))))</f>
        <v/>
      </c>
      <c r="J559" s="5">
        <f>IF(I559="","",IF(F559="Address issue",0,COUNTIF($I$2:$I$1001,"address issue"))+COUNTIFS($I$2:$I$1001,"?*",$F$2:$F$1001,IF(F559="Address issue","Address issue","&lt;&gt;Address issue"),$H$2:$H$1001,"&gt;"&amp;H559)+1)</f>
        <v/>
      </c>
    </row>
    <row r="560">
      <c r="A560" s="11" t="n">
        <v>100559</v>
      </c>
      <c r="B560" s="11" t="inlineStr">
        <is>
          <t>Канада</t>
        </is>
      </c>
      <c r="C560" s="11" t="inlineStr">
        <is>
          <t>PostLink</t>
        </is>
      </c>
      <c r="D560" s="11" t="inlineStr">
        <is>
          <t>PL34127425</t>
        </is>
      </c>
      <c r="E560" s="12" t="n">
        <v>46298</v>
      </c>
      <c r="F560" s="11" t="inlineStr">
        <is>
          <t>Delivered</t>
        </is>
      </c>
      <c r="G560" s="12" t="n">
        <v>46302</v>
      </c>
      <c r="H560" s="5">
        <f>IF(G560="","",Rules!$B$1-G560)</f>
        <v/>
      </c>
      <c r="I560" s="5">
        <f>IF(F560="Address issue","address issue",IF(OR(F560="Delivered",F560="Returned to sender",G560=""),"",IF(AND(Rules!$B$3&lt;&gt;"",F560="Held at customs",H560&gt;=Rules!$B$3),"customs &gt;= "&amp;Rules!$B$3&amp;" days",IF(H560&gt;=Rules!$B$2,"idle &gt;= "&amp;Rules!$B$2&amp;" days",""))))</f>
        <v/>
      </c>
      <c r="J560" s="5">
        <f>IF(I560="","",IF(F560="Address issue",0,COUNTIF($I$2:$I$1001,"address issue"))+COUNTIFS($I$2:$I$1001,"?*",$F$2:$F$1001,IF(F560="Address issue","Address issue","&lt;&gt;Address issue"),$H$2:$H$1001,"&gt;"&amp;H560)+1)</f>
        <v/>
      </c>
    </row>
    <row r="561">
      <c r="A561" s="11" t="n">
        <v>100560</v>
      </c>
      <c r="B561" s="11" t="inlineStr">
        <is>
          <t>Бразилія</t>
        </is>
      </c>
      <c r="C561" s="11" t="inlineStr">
        <is>
          <t>SwiftParcel</t>
        </is>
      </c>
      <c r="D561" s="11" t="inlineStr">
        <is>
          <t>SP5987889</t>
        </is>
      </c>
      <c r="E561" s="13" t="n">
        <v>46306</v>
      </c>
      <c r="F561" s="11" t="inlineStr">
        <is>
          <t>In transit</t>
        </is>
      </c>
      <c r="G561" s="13" t="n">
        <v>46308</v>
      </c>
      <c r="H561" s="5">
        <f>IF(G561="","",Rules!$B$1-G561)</f>
        <v/>
      </c>
      <c r="I561" s="5">
        <f>IF(F561="Address issue","address issue",IF(OR(F561="Delivered",F561="Returned to sender",G561=""),"",IF(AND(Rules!$B$3&lt;&gt;"",F561="Held at customs",H561&gt;=Rules!$B$3),"customs &gt;= "&amp;Rules!$B$3&amp;" days",IF(H561&gt;=Rules!$B$2,"idle &gt;= "&amp;Rules!$B$2&amp;" days",""))))</f>
        <v/>
      </c>
      <c r="J561" s="5">
        <f>IF(I561="","",IF(F561="Address issue",0,COUNTIF($I$2:$I$1001,"address issue"))+COUNTIFS($I$2:$I$1001,"?*",$F$2:$F$1001,IF(F561="Address issue","Address issue","&lt;&gt;Address issue"),$H$2:$H$1001,"&gt;"&amp;H561)+1)</f>
        <v/>
      </c>
    </row>
    <row r="562">
      <c r="A562" s="11" t="n">
        <v>100561</v>
      </c>
      <c r="B562" s="11" t="inlineStr">
        <is>
          <t>Мексика</t>
        </is>
      </c>
      <c r="C562" s="11" t="inlineStr">
        <is>
          <t>AndesCargo</t>
        </is>
      </c>
      <c r="D562" s="11" t="inlineStr">
        <is>
          <t>AC83659685</t>
        </is>
      </c>
      <c r="E562" s="12" t="n">
        <v>46277</v>
      </c>
      <c r="F562" s="11" t="inlineStr">
        <is>
          <t>Delivered</t>
        </is>
      </c>
      <c r="G562" s="12" t="n">
        <v>46284</v>
      </c>
      <c r="H562" s="5">
        <f>IF(G562="","",Rules!$B$1-G562)</f>
        <v/>
      </c>
      <c r="I562" s="5">
        <f>IF(F562="Address issue","address issue",IF(OR(F562="Delivered",F562="Returned to sender",G562=""),"",IF(AND(Rules!$B$3&lt;&gt;"",F562="Held at customs",H562&gt;=Rules!$B$3),"customs &gt;= "&amp;Rules!$B$3&amp;" days",IF(H562&gt;=Rules!$B$2,"idle &gt;= "&amp;Rules!$B$2&amp;" days",""))))</f>
        <v/>
      </c>
      <c r="J562" s="5">
        <f>IF(I562="","",IF(F562="Address issue",0,COUNTIF($I$2:$I$1001,"address issue"))+COUNTIFS($I$2:$I$1001,"?*",$F$2:$F$1001,IF(F562="Address issue","Address issue","&lt;&gt;Address issue"),$H$2:$H$1001,"&gt;"&amp;H562)+1)</f>
        <v/>
      </c>
    </row>
    <row r="563">
      <c r="A563" s="11" t="n">
        <v>100562</v>
      </c>
      <c r="B563" s="11" t="inlineStr">
        <is>
          <t>Мексика</t>
        </is>
      </c>
      <c r="C563" s="11" t="inlineStr">
        <is>
          <t>AndesCargo</t>
        </is>
      </c>
      <c r="D563" s="11" t="inlineStr">
        <is>
          <t>AC11333330</t>
        </is>
      </c>
      <c r="E563" s="12" t="n">
        <v>46287</v>
      </c>
      <c r="F563" s="11" t="inlineStr">
        <is>
          <t>Delivered</t>
        </is>
      </c>
      <c r="G563" s="12" t="n">
        <v>46298</v>
      </c>
      <c r="H563" s="5">
        <f>IF(G563="","",Rules!$B$1-G563)</f>
        <v/>
      </c>
      <c r="I563" s="5">
        <f>IF(F563="Address issue","address issue",IF(OR(F563="Delivered",F563="Returned to sender",G563=""),"",IF(AND(Rules!$B$3&lt;&gt;"",F563="Held at customs",H563&gt;=Rules!$B$3),"customs &gt;= "&amp;Rules!$B$3&amp;" days",IF(H563&gt;=Rules!$B$2,"idle &gt;= "&amp;Rules!$B$2&amp;" days",""))))</f>
        <v/>
      </c>
      <c r="J563" s="5">
        <f>IF(I563="","",IF(F563="Address issue",0,COUNTIF($I$2:$I$1001,"address issue"))+COUNTIFS($I$2:$I$1001,"?*",$F$2:$F$1001,IF(F563="Address issue","Address issue","&lt;&gt;Address issue"),$H$2:$H$1001,"&gt;"&amp;H563)+1)</f>
        <v/>
      </c>
    </row>
    <row r="564">
      <c r="A564" s="11" t="n">
        <v>100563</v>
      </c>
      <c r="B564" s="11" t="inlineStr">
        <is>
          <t>Мексика</t>
        </is>
      </c>
      <c r="C564" s="11" t="inlineStr">
        <is>
          <t>AndesCargo</t>
        </is>
      </c>
      <c r="D564" s="11" t="inlineStr">
        <is>
          <t>AC55618491</t>
        </is>
      </c>
      <c r="E564" s="12" t="n">
        <v>46278</v>
      </c>
      <c r="F564" s="11" t="inlineStr">
        <is>
          <t>Delivered</t>
        </is>
      </c>
      <c r="G564" s="12" t="n">
        <v>46287</v>
      </c>
      <c r="H564" s="5">
        <f>IF(G564="","",Rules!$B$1-G564)</f>
        <v/>
      </c>
      <c r="I564" s="5">
        <f>IF(F564="Address issue","address issue",IF(OR(F564="Delivered",F564="Returned to sender",G564=""),"",IF(AND(Rules!$B$3&lt;&gt;"",F564="Held at customs",H564&gt;=Rules!$B$3),"customs &gt;= "&amp;Rules!$B$3&amp;" days",IF(H564&gt;=Rules!$B$2,"idle &gt;= "&amp;Rules!$B$2&amp;" days",""))))</f>
        <v/>
      </c>
      <c r="J564" s="5">
        <f>IF(I564="","",IF(F564="Address issue",0,COUNTIF($I$2:$I$1001,"address issue"))+COUNTIFS($I$2:$I$1001,"?*",$F$2:$F$1001,IF(F564="Address issue","Address issue","&lt;&gt;Address issue"),$H$2:$H$1001,"&gt;"&amp;H564)+1)</f>
        <v/>
      </c>
    </row>
    <row r="565">
      <c r="A565" s="11" t="n">
        <v>100564</v>
      </c>
      <c r="B565" s="11" t="inlineStr">
        <is>
          <t>Бразилія</t>
        </is>
      </c>
      <c r="C565" s="11" t="inlineStr">
        <is>
          <t>SwiftParcel</t>
        </is>
      </c>
      <c r="D565" s="11" t="inlineStr">
        <is>
          <t>SP2218410</t>
        </is>
      </c>
      <c r="E565" s="12" t="n">
        <v>46282</v>
      </c>
      <c r="F565" s="11" t="inlineStr">
        <is>
          <t>Delivered</t>
        </is>
      </c>
      <c r="G565" s="12" t="n">
        <v>46288</v>
      </c>
      <c r="H565" s="5">
        <f>IF(G565="","",Rules!$B$1-G565)</f>
        <v/>
      </c>
      <c r="I565" s="5">
        <f>IF(F565="Address issue","address issue",IF(OR(F565="Delivered",F565="Returned to sender",G565=""),"",IF(AND(Rules!$B$3&lt;&gt;"",F565="Held at customs",H565&gt;=Rules!$B$3),"customs &gt;= "&amp;Rules!$B$3&amp;" days",IF(H565&gt;=Rules!$B$2,"idle &gt;= "&amp;Rules!$B$2&amp;" days",""))))</f>
        <v/>
      </c>
      <c r="J565" s="5">
        <f>IF(I565="","",IF(F565="Address issue",0,COUNTIF($I$2:$I$1001,"address issue"))+COUNTIFS($I$2:$I$1001,"?*",$F$2:$F$1001,IF(F565="Address issue","Address issue","&lt;&gt;Address issue"),$H$2:$H$1001,"&gt;"&amp;H565)+1)</f>
        <v/>
      </c>
    </row>
    <row r="566">
      <c r="A566" s="11" t="n">
        <v>100565</v>
      </c>
      <c r="B566" s="11" t="inlineStr">
        <is>
          <t>Мексика</t>
        </is>
      </c>
      <c r="C566" s="11" t="inlineStr">
        <is>
          <t>AndesCargo</t>
        </is>
      </c>
      <c r="D566" s="11" t="inlineStr">
        <is>
          <t>AC39569984</t>
        </is>
      </c>
      <c r="E566" s="13" t="n">
        <v>46306</v>
      </c>
      <c r="F566" s="11" t="inlineStr">
        <is>
          <t>In transit</t>
        </is>
      </c>
      <c r="G566" s="13" t="n">
        <v>46307</v>
      </c>
      <c r="H566" s="5">
        <f>IF(G566="","",Rules!$B$1-G566)</f>
        <v/>
      </c>
      <c r="I566" s="5">
        <f>IF(F566="Address issue","address issue",IF(OR(F566="Delivered",F566="Returned to sender",G566=""),"",IF(AND(Rules!$B$3&lt;&gt;"",F566="Held at customs",H566&gt;=Rules!$B$3),"customs &gt;= "&amp;Rules!$B$3&amp;" days",IF(H566&gt;=Rules!$B$2,"idle &gt;= "&amp;Rules!$B$2&amp;" days",""))))</f>
        <v/>
      </c>
      <c r="J566" s="5">
        <f>IF(I566="","",IF(F566="Address issue",0,COUNTIF($I$2:$I$1001,"address issue"))+COUNTIFS($I$2:$I$1001,"?*",$F$2:$F$1001,IF(F566="Address issue","Address issue","&lt;&gt;Address issue"),$H$2:$H$1001,"&gt;"&amp;H566)+1)</f>
        <v/>
      </c>
    </row>
    <row r="567">
      <c r="A567" s="11" t="n">
        <v>100566</v>
      </c>
      <c r="B567" s="11" t="inlineStr">
        <is>
          <t>Бразилія</t>
        </is>
      </c>
      <c r="C567" s="11" t="inlineStr">
        <is>
          <t>AndesCargo</t>
        </is>
      </c>
      <c r="D567" s="11" t="inlineStr">
        <is>
          <t>AC92796375</t>
        </is>
      </c>
      <c r="E567" s="12" t="n">
        <v>46299</v>
      </c>
      <c r="F567" s="11" t="inlineStr">
        <is>
          <t>In transit</t>
        </is>
      </c>
      <c r="G567" s="13" t="n">
        <v>46306</v>
      </c>
      <c r="H567" s="5">
        <f>IF(G567="","",Rules!$B$1-G567)</f>
        <v/>
      </c>
      <c r="I567" s="5">
        <f>IF(F567="Address issue","address issue",IF(OR(F567="Delivered",F567="Returned to sender",G567=""),"",IF(AND(Rules!$B$3&lt;&gt;"",F567="Held at customs",H567&gt;=Rules!$B$3),"customs &gt;= "&amp;Rules!$B$3&amp;" days",IF(H567&gt;=Rules!$B$2,"idle &gt;= "&amp;Rules!$B$2&amp;" days",""))))</f>
        <v/>
      </c>
      <c r="J567" s="5">
        <f>IF(I567="","",IF(F567="Address issue",0,COUNTIF($I$2:$I$1001,"address issue"))+COUNTIFS($I$2:$I$1001,"?*",$F$2:$F$1001,IF(F567="Address issue","Address issue","&lt;&gt;Address issue"),$H$2:$H$1001,"&gt;"&amp;H567)+1)</f>
        <v/>
      </c>
    </row>
    <row r="568">
      <c r="A568" s="11" t="n">
        <v>100567</v>
      </c>
      <c r="B568" s="11" t="inlineStr">
        <is>
          <t>Канада</t>
        </is>
      </c>
      <c r="C568" s="11" t="inlineStr">
        <is>
          <t>PostLink</t>
        </is>
      </c>
      <c r="D568" s="11" t="inlineStr">
        <is>
          <t>PL97662955</t>
        </is>
      </c>
      <c r="E568" s="12" t="n">
        <v>46298</v>
      </c>
      <c r="F568" s="11" t="inlineStr">
        <is>
          <t>In transit</t>
        </is>
      </c>
      <c r="G568" s="13" t="n">
        <v>46305</v>
      </c>
      <c r="H568" s="5">
        <f>IF(G568="","",Rules!$B$1-G568)</f>
        <v/>
      </c>
      <c r="I568" s="5">
        <f>IF(F568="Address issue","address issue",IF(OR(F568="Delivered",F568="Returned to sender",G568=""),"",IF(AND(Rules!$B$3&lt;&gt;"",F568="Held at customs",H568&gt;=Rules!$B$3),"customs &gt;= "&amp;Rules!$B$3&amp;" days",IF(H568&gt;=Rules!$B$2,"idle &gt;= "&amp;Rules!$B$2&amp;" days",""))))</f>
        <v/>
      </c>
      <c r="J568" s="5">
        <f>IF(I568="","",IF(F568="Address issue",0,COUNTIF($I$2:$I$1001,"address issue"))+COUNTIFS($I$2:$I$1001,"?*",$F$2:$F$1001,IF(F568="Address issue","Address issue","&lt;&gt;Address issue"),$H$2:$H$1001,"&gt;"&amp;H568)+1)</f>
        <v/>
      </c>
    </row>
    <row r="569">
      <c r="A569" s="11" t="n">
        <v>100568</v>
      </c>
      <c r="B569" s="11" t="inlineStr">
        <is>
          <t>Мексика</t>
        </is>
      </c>
      <c r="C569" s="11" t="inlineStr">
        <is>
          <t>AndesCargo</t>
        </is>
      </c>
      <c r="D569" s="11" t="inlineStr">
        <is>
          <t>AC70657577</t>
        </is>
      </c>
      <c r="E569" s="12" t="n">
        <v>46296</v>
      </c>
      <c r="F569" s="11" t="inlineStr">
        <is>
          <t>Delivered</t>
        </is>
      </c>
      <c r="G569" s="13" t="n">
        <v>46308</v>
      </c>
      <c r="H569" s="5">
        <f>IF(G569="","",Rules!$B$1-G569)</f>
        <v/>
      </c>
      <c r="I569" s="5">
        <f>IF(F569="Address issue","address issue",IF(OR(F569="Delivered",F569="Returned to sender",G569=""),"",IF(AND(Rules!$B$3&lt;&gt;"",F569="Held at customs",H569&gt;=Rules!$B$3),"customs &gt;= "&amp;Rules!$B$3&amp;" days",IF(H569&gt;=Rules!$B$2,"idle &gt;= "&amp;Rules!$B$2&amp;" days",""))))</f>
        <v/>
      </c>
      <c r="J569" s="5">
        <f>IF(I569="","",IF(F569="Address issue",0,COUNTIF($I$2:$I$1001,"address issue"))+COUNTIFS($I$2:$I$1001,"?*",$F$2:$F$1001,IF(F569="Address issue","Address issue","&lt;&gt;Address issue"),$H$2:$H$1001,"&gt;"&amp;H569)+1)</f>
        <v/>
      </c>
    </row>
    <row r="570">
      <c r="A570" s="11" t="n">
        <v>100569</v>
      </c>
      <c r="B570" s="11" t="inlineStr">
        <is>
          <t>Мексика</t>
        </is>
      </c>
      <c r="C570" s="11" t="inlineStr">
        <is>
          <t>AndesCargo</t>
        </is>
      </c>
      <c r="D570" s="11" t="inlineStr">
        <is>
          <t>AC35744077</t>
        </is>
      </c>
      <c r="E570" s="12" t="n">
        <v>46282</v>
      </c>
      <c r="F570" s="11" t="inlineStr">
        <is>
          <t>Delivered</t>
        </is>
      </c>
      <c r="G570" s="12" t="n">
        <v>46289</v>
      </c>
      <c r="H570" s="5">
        <f>IF(G570="","",Rules!$B$1-G570)</f>
        <v/>
      </c>
      <c r="I570" s="5">
        <f>IF(F570="Address issue","address issue",IF(OR(F570="Delivered",F570="Returned to sender",G570=""),"",IF(AND(Rules!$B$3&lt;&gt;"",F570="Held at customs",H570&gt;=Rules!$B$3),"customs &gt;= "&amp;Rules!$B$3&amp;" days",IF(H570&gt;=Rules!$B$2,"idle &gt;= "&amp;Rules!$B$2&amp;" days",""))))</f>
        <v/>
      </c>
      <c r="J570" s="5">
        <f>IF(I570="","",IF(F570="Address issue",0,COUNTIF($I$2:$I$1001,"address issue"))+COUNTIFS($I$2:$I$1001,"?*",$F$2:$F$1001,IF(F570="Address issue","Address issue","&lt;&gt;Address issue"),$H$2:$H$1001,"&gt;"&amp;H570)+1)</f>
        <v/>
      </c>
    </row>
    <row r="571">
      <c r="A571" s="11" t="n">
        <v>100570</v>
      </c>
      <c r="B571" s="11" t="inlineStr">
        <is>
          <t>Мексика</t>
        </is>
      </c>
      <c r="C571" s="11" t="inlineStr">
        <is>
          <t>AndesCargo</t>
        </is>
      </c>
      <c r="D571" s="11" t="inlineStr">
        <is>
          <t>AC49253432</t>
        </is>
      </c>
      <c r="E571" s="12" t="n">
        <v>46292</v>
      </c>
      <c r="F571" s="11" t="inlineStr">
        <is>
          <t>Delivered</t>
        </is>
      </c>
      <c r="G571" s="12" t="n">
        <v>46298</v>
      </c>
      <c r="H571" s="5">
        <f>IF(G571="","",Rules!$B$1-G571)</f>
        <v/>
      </c>
      <c r="I571" s="5">
        <f>IF(F571="Address issue","address issue",IF(OR(F571="Delivered",F571="Returned to sender",G571=""),"",IF(AND(Rules!$B$3&lt;&gt;"",F571="Held at customs",H571&gt;=Rules!$B$3),"customs &gt;= "&amp;Rules!$B$3&amp;" days",IF(H571&gt;=Rules!$B$2,"idle &gt;= "&amp;Rules!$B$2&amp;" days",""))))</f>
        <v/>
      </c>
      <c r="J571" s="5">
        <f>IF(I571="","",IF(F571="Address issue",0,COUNTIF($I$2:$I$1001,"address issue"))+COUNTIFS($I$2:$I$1001,"?*",$F$2:$F$1001,IF(F571="Address issue","Address issue","&lt;&gt;Address issue"),$H$2:$H$1001,"&gt;"&amp;H571)+1)</f>
        <v/>
      </c>
    </row>
    <row r="572">
      <c r="A572" s="11" t="n">
        <v>100571</v>
      </c>
      <c r="B572" s="11" t="inlineStr">
        <is>
          <t>Канада</t>
        </is>
      </c>
      <c r="C572" s="11" t="inlineStr">
        <is>
          <t>PostLink</t>
        </is>
      </c>
      <c r="D572" s="11" t="inlineStr">
        <is>
          <t>PL58543083</t>
        </is>
      </c>
      <c r="E572" s="12" t="n">
        <v>46300</v>
      </c>
      <c r="F572" s="11" t="inlineStr">
        <is>
          <t>Out for delivery</t>
        </is>
      </c>
      <c r="G572" s="13" t="n">
        <v>46305</v>
      </c>
      <c r="H572" s="5">
        <f>IF(G572="","",Rules!$B$1-G572)</f>
        <v/>
      </c>
      <c r="I572" s="5">
        <f>IF(F572="Address issue","address issue",IF(OR(F572="Delivered",F572="Returned to sender",G572=""),"",IF(AND(Rules!$B$3&lt;&gt;"",F572="Held at customs",H572&gt;=Rules!$B$3),"customs &gt;= "&amp;Rules!$B$3&amp;" days",IF(H572&gt;=Rules!$B$2,"idle &gt;= "&amp;Rules!$B$2&amp;" days",""))))</f>
        <v/>
      </c>
      <c r="J572" s="5">
        <f>IF(I572="","",IF(F572="Address issue",0,COUNTIF($I$2:$I$1001,"address issue"))+COUNTIFS($I$2:$I$1001,"?*",$F$2:$F$1001,IF(F572="Address issue","Address issue","&lt;&gt;Address issue"),$H$2:$H$1001,"&gt;"&amp;H572)+1)</f>
        <v/>
      </c>
    </row>
    <row r="573">
      <c r="A573" s="11" t="n">
        <v>100572</v>
      </c>
      <c r="B573" s="11" t="inlineStr">
        <is>
          <t>Мексика</t>
        </is>
      </c>
      <c r="C573" s="11" t="inlineStr">
        <is>
          <t>AndesCargo</t>
        </is>
      </c>
      <c r="D573" s="11" t="inlineStr">
        <is>
          <t>AC35403754</t>
        </is>
      </c>
      <c r="E573" s="12" t="n">
        <v>46284</v>
      </c>
      <c r="F573" s="11" t="inlineStr">
        <is>
          <t>Delivered</t>
        </is>
      </c>
      <c r="G573" s="12" t="n">
        <v>46290</v>
      </c>
      <c r="H573" s="5">
        <f>IF(G573="","",Rules!$B$1-G573)</f>
        <v/>
      </c>
      <c r="I573" s="5">
        <f>IF(F573="Address issue","address issue",IF(OR(F573="Delivered",F573="Returned to sender",G573=""),"",IF(AND(Rules!$B$3&lt;&gt;"",F573="Held at customs",H573&gt;=Rules!$B$3),"customs &gt;= "&amp;Rules!$B$3&amp;" days",IF(H573&gt;=Rules!$B$2,"idle &gt;= "&amp;Rules!$B$2&amp;" days",""))))</f>
        <v/>
      </c>
      <c r="J573" s="5">
        <f>IF(I573="","",IF(F573="Address issue",0,COUNTIF($I$2:$I$1001,"address issue"))+COUNTIFS($I$2:$I$1001,"?*",$F$2:$F$1001,IF(F573="Address issue","Address issue","&lt;&gt;Address issue"),$H$2:$H$1001,"&gt;"&amp;H573)+1)</f>
        <v/>
      </c>
    </row>
    <row r="574">
      <c r="A574" s="11" t="n">
        <v>100573</v>
      </c>
      <c r="B574" s="11" t="inlineStr">
        <is>
          <t>Канада</t>
        </is>
      </c>
      <c r="C574" s="11" t="inlineStr">
        <is>
          <t>PostLink</t>
        </is>
      </c>
      <c r="D574" s="11" t="inlineStr">
        <is>
          <t>PL32645931</t>
        </is>
      </c>
      <c r="E574" s="12" t="n">
        <v>46297</v>
      </c>
      <c r="F574" s="11" t="inlineStr">
        <is>
          <t>Delivered</t>
        </is>
      </c>
      <c r="G574" s="12" t="n">
        <v>46304</v>
      </c>
      <c r="H574" s="5">
        <f>IF(G574="","",Rules!$B$1-G574)</f>
        <v/>
      </c>
      <c r="I574" s="5">
        <f>IF(F574="Address issue","address issue",IF(OR(F574="Delivered",F574="Returned to sender",G574=""),"",IF(AND(Rules!$B$3&lt;&gt;"",F574="Held at customs",H574&gt;=Rules!$B$3),"customs &gt;= "&amp;Rules!$B$3&amp;" days",IF(H574&gt;=Rules!$B$2,"idle &gt;= "&amp;Rules!$B$2&amp;" days",""))))</f>
        <v/>
      </c>
      <c r="J574" s="5">
        <f>IF(I574="","",IF(F574="Address issue",0,COUNTIF($I$2:$I$1001,"address issue"))+COUNTIFS($I$2:$I$1001,"?*",$F$2:$F$1001,IF(F574="Address issue","Address issue","&lt;&gt;Address issue"),$H$2:$H$1001,"&gt;"&amp;H574)+1)</f>
        <v/>
      </c>
    </row>
    <row r="575">
      <c r="A575" s="11" t="n">
        <v>100574</v>
      </c>
      <c r="B575" s="11" t="inlineStr">
        <is>
          <t>Мексика</t>
        </is>
      </c>
      <c r="C575" s="11" t="inlineStr">
        <is>
          <t>AndesCargo</t>
        </is>
      </c>
      <c r="D575" s="11" t="inlineStr">
        <is>
          <t>AC91670463</t>
        </is>
      </c>
      <c r="E575" s="12" t="n">
        <v>46287</v>
      </c>
      <c r="F575" s="11" t="inlineStr">
        <is>
          <t>Delivered</t>
        </is>
      </c>
      <c r="G575" s="12" t="n">
        <v>46290</v>
      </c>
      <c r="H575" s="5">
        <f>IF(G575="","",Rules!$B$1-G575)</f>
        <v/>
      </c>
      <c r="I575" s="5">
        <f>IF(F575="Address issue","address issue",IF(OR(F575="Delivered",F575="Returned to sender",G575=""),"",IF(AND(Rules!$B$3&lt;&gt;"",F575="Held at customs",H575&gt;=Rules!$B$3),"customs &gt;= "&amp;Rules!$B$3&amp;" days",IF(H575&gt;=Rules!$B$2,"idle &gt;= "&amp;Rules!$B$2&amp;" days",""))))</f>
        <v/>
      </c>
      <c r="J575" s="5">
        <f>IF(I575="","",IF(F575="Address issue",0,COUNTIF($I$2:$I$1001,"address issue"))+COUNTIFS($I$2:$I$1001,"?*",$F$2:$F$1001,IF(F575="Address issue","Address issue","&lt;&gt;Address issue"),$H$2:$H$1001,"&gt;"&amp;H575)+1)</f>
        <v/>
      </c>
    </row>
    <row r="576">
      <c r="A576" s="11" t="n">
        <v>100575</v>
      </c>
      <c r="B576" s="11" t="inlineStr">
        <is>
          <t>Мексика</t>
        </is>
      </c>
      <c r="C576" s="11" t="inlineStr">
        <is>
          <t>AndesCargo</t>
        </is>
      </c>
      <c r="D576" s="11" t="inlineStr">
        <is>
          <t>AC60401001</t>
        </is>
      </c>
      <c r="E576" s="12" t="n">
        <v>46297</v>
      </c>
      <c r="F576" s="11" t="inlineStr">
        <is>
          <t>Delivered</t>
        </is>
      </c>
      <c r="G576" s="12" t="n">
        <v>46304</v>
      </c>
      <c r="H576" s="5">
        <f>IF(G576="","",Rules!$B$1-G576)</f>
        <v/>
      </c>
      <c r="I576" s="5">
        <f>IF(F576="Address issue","address issue",IF(OR(F576="Delivered",F576="Returned to sender",G576=""),"",IF(AND(Rules!$B$3&lt;&gt;"",F576="Held at customs",H576&gt;=Rules!$B$3),"customs &gt;= "&amp;Rules!$B$3&amp;" days",IF(H576&gt;=Rules!$B$2,"idle &gt;= "&amp;Rules!$B$2&amp;" days",""))))</f>
        <v/>
      </c>
      <c r="J576" s="5">
        <f>IF(I576="","",IF(F576="Address issue",0,COUNTIF($I$2:$I$1001,"address issue"))+COUNTIFS($I$2:$I$1001,"?*",$F$2:$F$1001,IF(F576="Address issue","Address issue","&lt;&gt;Address issue"),$H$2:$H$1001,"&gt;"&amp;H576)+1)</f>
        <v/>
      </c>
    </row>
    <row r="577">
      <c r="A577" s="11" t="n">
        <v>100576</v>
      </c>
      <c r="B577" s="11" t="inlineStr">
        <is>
          <t>Бразилія</t>
        </is>
      </c>
      <c r="C577" s="11" t="inlineStr">
        <is>
          <t>SwiftParcel</t>
        </is>
      </c>
      <c r="D577" s="11" t="inlineStr">
        <is>
          <t>SP8324023</t>
        </is>
      </c>
      <c r="E577" s="12" t="n">
        <v>46296</v>
      </c>
      <c r="F577" s="11" t="inlineStr">
        <is>
          <t>Delivered</t>
        </is>
      </c>
      <c r="G577" s="13" t="n">
        <v>46306</v>
      </c>
      <c r="H577" s="5">
        <f>IF(G577="","",Rules!$B$1-G577)</f>
        <v/>
      </c>
      <c r="I577" s="5">
        <f>IF(F577="Address issue","address issue",IF(OR(F577="Delivered",F577="Returned to sender",G577=""),"",IF(AND(Rules!$B$3&lt;&gt;"",F577="Held at customs",H577&gt;=Rules!$B$3),"customs &gt;= "&amp;Rules!$B$3&amp;" days",IF(H577&gt;=Rules!$B$2,"idle &gt;= "&amp;Rules!$B$2&amp;" days",""))))</f>
        <v/>
      </c>
      <c r="J577" s="5">
        <f>IF(I577="","",IF(F577="Address issue",0,COUNTIF($I$2:$I$1001,"address issue"))+COUNTIFS($I$2:$I$1001,"?*",$F$2:$F$1001,IF(F577="Address issue","Address issue","&lt;&gt;Address issue"),$H$2:$H$1001,"&gt;"&amp;H577)+1)</f>
        <v/>
      </c>
    </row>
    <row r="578">
      <c r="A578" s="11" t="n">
        <v>100577</v>
      </c>
      <c r="B578" s="11" t="inlineStr">
        <is>
          <t>Канада</t>
        </is>
      </c>
      <c r="C578" s="11" t="inlineStr">
        <is>
          <t>PostLink</t>
        </is>
      </c>
      <c r="D578" s="11" t="inlineStr">
        <is>
          <t>PL92868291</t>
        </is>
      </c>
      <c r="E578" s="12" t="n">
        <v>46298</v>
      </c>
      <c r="F578" s="11" t="inlineStr">
        <is>
          <t>In transit</t>
        </is>
      </c>
      <c r="G578" s="12" t="n">
        <v>46304</v>
      </c>
      <c r="H578" s="5">
        <f>IF(G578="","",Rules!$B$1-G578)</f>
        <v/>
      </c>
      <c r="I578" s="5">
        <f>IF(F578="Address issue","address issue",IF(OR(F578="Delivered",F578="Returned to sender",G578=""),"",IF(AND(Rules!$B$3&lt;&gt;"",F578="Held at customs",H578&gt;=Rules!$B$3),"customs &gt;= "&amp;Rules!$B$3&amp;" days",IF(H578&gt;=Rules!$B$2,"idle &gt;= "&amp;Rules!$B$2&amp;" days",""))))</f>
        <v/>
      </c>
      <c r="J578" s="5">
        <f>IF(I578="","",IF(F578="Address issue",0,COUNTIF($I$2:$I$1001,"address issue"))+COUNTIFS($I$2:$I$1001,"?*",$F$2:$F$1001,IF(F578="Address issue","Address issue","&lt;&gt;Address issue"),$H$2:$H$1001,"&gt;"&amp;H578)+1)</f>
        <v/>
      </c>
    </row>
    <row r="579">
      <c r="A579" s="11" t="n">
        <v>100578</v>
      </c>
      <c r="B579" s="11" t="inlineStr">
        <is>
          <t>Мексика</t>
        </is>
      </c>
      <c r="C579" s="11" t="inlineStr">
        <is>
          <t>AndesCargo</t>
        </is>
      </c>
      <c r="D579" s="11" t="inlineStr">
        <is>
          <t>AC74868661</t>
        </is>
      </c>
      <c r="E579" s="12" t="n">
        <v>46292</v>
      </c>
      <c r="F579" s="11" t="inlineStr">
        <is>
          <t>Held at customs</t>
        </is>
      </c>
      <c r="G579" s="12" t="n">
        <v>46297</v>
      </c>
      <c r="H579" s="5">
        <f>IF(G579="","",Rules!$B$1-G579)</f>
        <v/>
      </c>
      <c r="I579" s="5">
        <f>IF(F579="Address issue","address issue",IF(OR(F579="Delivered",F579="Returned to sender",G579=""),"",IF(AND(Rules!$B$3&lt;&gt;"",F579="Held at customs",H579&gt;=Rules!$B$3),"customs &gt;= "&amp;Rules!$B$3&amp;" days",IF(H579&gt;=Rules!$B$2,"idle &gt;= "&amp;Rules!$B$2&amp;" days",""))))</f>
        <v/>
      </c>
      <c r="J579" s="5">
        <f>IF(I579="","",IF(F579="Address issue",0,COUNTIF($I$2:$I$1001,"address issue"))+COUNTIFS($I$2:$I$1001,"?*",$F$2:$F$1001,IF(F579="Address issue","Address issue","&lt;&gt;Address issue"),$H$2:$H$1001,"&gt;"&amp;H579)+1)</f>
        <v/>
      </c>
    </row>
    <row r="580">
      <c r="A580" s="11" t="n">
        <v>100579</v>
      </c>
      <c r="B580" s="11" t="inlineStr">
        <is>
          <t>Канада</t>
        </is>
      </c>
      <c r="C580" s="11" t="inlineStr">
        <is>
          <t>PostLink</t>
        </is>
      </c>
      <c r="D580" s="11" t="inlineStr">
        <is>
          <t>PL19697063</t>
        </is>
      </c>
      <c r="E580" s="13" t="n">
        <v>46306</v>
      </c>
      <c r="F580" s="11" t="inlineStr">
        <is>
          <t>In transit</t>
        </is>
      </c>
      <c r="G580" s="13" t="n">
        <v>46307</v>
      </c>
      <c r="H580" s="5">
        <f>IF(G580="","",Rules!$B$1-G580)</f>
        <v/>
      </c>
      <c r="I580" s="5">
        <f>IF(F580="Address issue","address issue",IF(OR(F580="Delivered",F580="Returned to sender",G580=""),"",IF(AND(Rules!$B$3&lt;&gt;"",F580="Held at customs",H580&gt;=Rules!$B$3),"customs &gt;= "&amp;Rules!$B$3&amp;" days",IF(H580&gt;=Rules!$B$2,"idle &gt;= "&amp;Rules!$B$2&amp;" days",""))))</f>
        <v/>
      </c>
      <c r="J580" s="5">
        <f>IF(I580="","",IF(F580="Address issue",0,COUNTIF($I$2:$I$1001,"address issue"))+COUNTIFS($I$2:$I$1001,"?*",$F$2:$F$1001,IF(F580="Address issue","Address issue","&lt;&gt;Address issue"),$H$2:$H$1001,"&gt;"&amp;H580)+1)</f>
        <v/>
      </c>
    </row>
    <row r="581">
      <c r="A581" s="11" t="n">
        <v>100580</v>
      </c>
      <c r="B581" s="11" t="inlineStr">
        <is>
          <t>Мексика</t>
        </is>
      </c>
      <c r="C581" s="11" t="inlineStr">
        <is>
          <t>AndesCargo</t>
        </is>
      </c>
      <c r="D581" s="11" t="inlineStr">
        <is>
          <t>AC15403742</t>
        </is>
      </c>
      <c r="E581" s="12" t="n">
        <v>46285</v>
      </c>
      <c r="F581" s="11" t="inlineStr">
        <is>
          <t>In transit</t>
        </is>
      </c>
      <c r="G581" s="12" t="n">
        <v>46290</v>
      </c>
      <c r="H581" s="5">
        <f>IF(G581="","",Rules!$B$1-G581)</f>
        <v/>
      </c>
      <c r="I581" s="5">
        <f>IF(F581="Address issue","address issue",IF(OR(F581="Delivered",F581="Returned to sender",G581=""),"",IF(AND(Rules!$B$3&lt;&gt;"",F581="Held at customs",H581&gt;=Rules!$B$3),"customs &gt;= "&amp;Rules!$B$3&amp;" days",IF(H581&gt;=Rules!$B$2,"idle &gt;= "&amp;Rules!$B$2&amp;" days",""))))</f>
        <v/>
      </c>
      <c r="J581" s="5">
        <f>IF(I581="","",IF(F581="Address issue",0,COUNTIF($I$2:$I$1001,"address issue"))+COUNTIFS($I$2:$I$1001,"?*",$F$2:$F$1001,IF(F581="Address issue","Address issue","&lt;&gt;Address issue"),$H$2:$H$1001,"&gt;"&amp;H581)+1)</f>
        <v/>
      </c>
    </row>
    <row r="582">
      <c r="A582" s="11" t="n">
        <v>100581</v>
      </c>
      <c r="B582" s="11" t="inlineStr">
        <is>
          <t>Бразилія</t>
        </is>
      </c>
      <c r="C582" s="11" t="inlineStr">
        <is>
          <t>SwiftParcel</t>
        </is>
      </c>
      <c r="D582" s="11" t="inlineStr">
        <is>
          <t>SP8238262</t>
        </is>
      </c>
      <c r="E582" s="12" t="n">
        <v>46288</v>
      </c>
      <c r="F582" s="11" t="inlineStr">
        <is>
          <t>Held at customs</t>
        </is>
      </c>
      <c r="G582" s="12" t="n">
        <v>46296</v>
      </c>
      <c r="H582" s="5">
        <f>IF(G582="","",Rules!$B$1-G582)</f>
        <v/>
      </c>
      <c r="I582" s="5">
        <f>IF(F582="Address issue","address issue",IF(OR(F582="Delivered",F582="Returned to sender",G582=""),"",IF(AND(Rules!$B$3&lt;&gt;"",F582="Held at customs",H582&gt;=Rules!$B$3),"customs &gt;= "&amp;Rules!$B$3&amp;" days",IF(H582&gt;=Rules!$B$2,"idle &gt;= "&amp;Rules!$B$2&amp;" days",""))))</f>
        <v/>
      </c>
      <c r="J582" s="5">
        <f>IF(I582="","",IF(F582="Address issue",0,COUNTIF($I$2:$I$1001,"address issue"))+COUNTIFS($I$2:$I$1001,"?*",$F$2:$F$1001,IF(F582="Address issue","Address issue","&lt;&gt;Address issue"),$H$2:$H$1001,"&gt;"&amp;H582)+1)</f>
        <v/>
      </c>
    </row>
    <row r="583">
      <c r="A583" s="11" t="n">
        <v>100582</v>
      </c>
      <c r="B583" s="11" t="inlineStr">
        <is>
          <t>Канада</t>
        </is>
      </c>
      <c r="C583" s="11" t="inlineStr">
        <is>
          <t>PostLink</t>
        </is>
      </c>
      <c r="D583" s="11" t="inlineStr">
        <is>
          <t>PL35981478</t>
        </is>
      </c>
      <c r="E583" s="12" t="n">
        <v>46300</v>
      </c>
      <c r="F583" s="11" t="inlineStr">
        <is>
          <t>Out for delivery</t>
        </is>
      </c>
      <c r="G583" s="13" t="n">
        <v>46308</v>
      </c>
      <c r="H583" s="5">
        <f>IF(G583="","",Rules!$B$1-G583)</f>
        <v/>
      </c>
      <c r="I583" s="5">
        <f>IF(F583="Address issue","address issue",IF(OR(F583="Delivered",F583="Returned to sender",G583=""),"",IF(AND(Rules!$B$3&lt;&gt;"",F583="Held at customs",H583&gt;=Rules!$B$3),"customs &gt;= "&amp;Rules!$B$3&amp;" days",IF(H583&gt;=Rules!$B$2,"idle &gt;= "&amp;Rules!$B$2&amp;" days",""))))</f>
        <v/>
      </c>
      <c r="J583" s="5">
        <f>IF(I583="","",IF(F583="Address issue",0,COUNTIF($I$2:$I$1001,"address issue"))+COUNTIFS($I$2:$I$1001,"?*",$F$2:$F$1001,IF(F583="Address issue","Address issue","&lt;&gt;Address issue"),$H$2:$H$1001,"&gt;"&amp;H583)+1)</f>
        <v/>
      </c>
    </row>
    <row r="584">
      <c r="A584" s="11" t="n">
        <v>100583</v>
      </c>
      <c r="B584" s="11" t="inlineStr">
        <is>
          <t>Мексика</t>
        </is>
      </c>
      <c r="C584" s="11" t="inlineStr">
        <is>
          <t>SwiftParcel</t>
        </is>
      </c>
      <c r="D584" s="11" t="inlineStr">
        <is>
          <t>SP2357254</t>
        </is>
      </c>
      <c r="E584" s="12" t="n">
        <v>46303</v>
      </c>
      <c r="F584" s="11" t="inlineStr">
        <is>
          <t>Held at customs</t>
        </is>
      </c>
      <c r="G584" s="13" t="n">
        <v>46305</v>
      </c>
      <c r="H584" s="5">
        <f>IF(G584="","",Rules!$B$1-G584)</f>
        <v/>
      </c>
      <c r="I584" s="5">
        <f>IF(F584="Address issue","address issue",IF(OR(F584="Delivered",F584="Returned to sender",G584=""),"",IF(AND(Rules!$B$3&lt;&gt;"",F584="Held at customs",H584&gt;=Rules!$B$3),"customs &gt;= "&amp;Rules!$B$3&amp;" days",IF(H584&gt;=Rules!$B$2,"idle &gt;= "&amp;Rules!$B$2&amp;" days",""))))</f>
        <v/>
      </c>
      <c r="J584" s="5">
        <f>IF(I584="","",IF(F584="Address issue",0,COUNTIF($I$2:$I$1001,"address issue"))+COUNTIFS($I$2:$I$1001,"?*",$F$2:$F$1001,IF(F584="Address issue","Address issue","&lt;&gt;Address issue"),$H$2:$H$1001,"&gt;"&amp;H584)+1)</f>
        <v/>
      </c>
    </row>
    <row r="585">
      <c r="A585" s="11" t="n">
        <v>100584</v>
      </c>
      <c r="B585" s="11" t="inlineStr">
        <is>
          <t>Канада</t>
        </is>
      </c>
      <c r="C585" s="11" t="inlineStr">
        <is>
          <t>PostLink</t>
        </is>
      </c>
      <c r="D585" s="11" t="inlineStr">
        <is>
          <t>PL86294004</t>
        </is>
      </c>
      <c r="E585" s="12" t="n">
        <v>46292</v>
      </c>
      <c r="F585" s="11" t="inlineStr">
        <is>
          <t>Delivered</t>
        </is>
      </c>
      <c r="G585" s="12" t="n">
        <v>46300</v>
      </c>
      <c r="H585" s="5">
        <f>IF(G585="","",Rules!$B$1-G585)</f>
        <v/>
      </c>
      <c r="I585" s="5">
        <f>IF(F585="Address issue","address issue",IF(OR(F585="Delivered",F585="Returned to sender",G585=""),"",IF(AND(Rules!$B$3&lt;&gt;"",F585="Held at customs",H585&gt;=Rules!$B$3),"customs &gt;= "&amp;Rules!$B$3&amp;" days",IF(H585&gt;=Rules!$B$2,"idle &gt;= "&amp;Rules!$B$2&amp;" days",""))))</f>
        <v/>
      </c>
      <c r="J585" s="5">
        <f>IF(I585="","",IF(F585="Address issue",0,COUNTIF($I$2:$I$1001,"address issue"))+COUNTIFS($I$2:$I$1001,"?*",$F$2:$F$1001,IF(F585="Address issue","Address issue","&lt;&gt;Address issue"),$H$2:$H$1001,"&gt;"&amp;H585)+1)</f>
        <v/>
      </c>
    </row>
    <row r="586">
      <c r="A586" s="11" t="n">
        <v>100585</v>
      </c>
      <c r="B586" s="11" t="inlineStr">
        <is>
          <t>Бразилія</t>
        </is>
      </c>
      <c r="C586" s="11" t="inlineStr">
        <is>
          <t>SwiftParcel</t>
        </is>
      </c>
      <c r="D586" s="11" t="inlineStr">
        <is>
          <t>SP1871353</t>
        </is>
      </c>
      <c r="E586" s="12" t="n">
        <v>46275</v>
      </c>
      <c r="F586" s="11" t="inlineStr">
        <is>
          <t>Delivered</t>
        </is>
      </c>
      <c r="G586" s="12" t="n">
        <v>46284</v>
      </c>
      <c r="H586" s="5">
        <f>IF(G586="","",Rules!$B$1-G586)</f>
        <v/>
      </c>
      <c r="I586" s="5">
        <f>IF(F586="Address issue","address issue",IF(OR(F586="Delivered",F586="Returned to sender",G586=""),"",IF(AND(Rules!$B$3&lt;&gt;"",F586="Held at customs",H586&gt;=Rules!$B$3),"customs &gt;= "&amp;Rules!$B$3&amp;" days",IF(H586&gt;=Rules!$B$2,"idle &gt;= "&amp;Rules!$B$2&amp;" days",""))))</f>
        <v/>
      </c>
      <c r="J586" s="5">
        <f>IF(I586="","",IF(F586="Address issue",0,COUNTIF($I$2:$I$1001,"address issue"))+COUNTIFS($I$2:$I$1001,"?*",$F$2:$F$1001,IF(F586="Address issue","Address issue","&lt;&gt;Address issue"),$H$2:$H$1001,"&gt;"&amp;H586)+1)</f>
        <v/>
      </c>
    </row>
    <row r="587">
      <c r="A587" s="11" t="n">
        <v>100586</v>
      </c>
      <c r="B587" s="11" t="inlineStr">
        <is>
          <t>Канада</t>
        </is>
      </c>
      <c r="C587" s="11" t="inlineStr">
        <is>
          <t>PostLink</t>
        </is>
      </c>
      <c r="D587" s="11" t="inlineStr">
        <is>
          <t>PL61493675</t>
        </is>
      </c>
      <c r="E587" s="12" t="n">
        <v>46293</v>
      </c>
      <c r="F587" s="11" t="inlineStr">
        <is>
          <t>Delivered</t>
        </is>
      </c>
      <c r="G587" s="12" t="n">
        <v>46303</v>
      </c>
      <c r="H587" s="5">
        <f>IF(G587="","",Rules!$B$1-G587)</f>
        <v/>
      </c>
      <c r="I587" s="5">
        <f>IF(F587="Address issue","address issue",IF(OR(F587="Delivered",F587="Returned to sender",G587=""),"",IF(AND(Rules!$B$3&lt;&gt;"",F587="Held at customs",H587&gt;=Rules!$B$3),"customs &gt;= "&amp;Rules!$B$3&amp;" days",IF(H587&gt;=Rules!$B$2,"idle &gt;= "&amp;Rules!$B$2&amp;" days",""))))</f>
        <v/>
      </c>
      <c r="J587" s="5">
        <f>IF(I587="","",IF(F587="Address issue",0,COUNTIF($I$2:$I$1001,"address issue"))+COUNTIFS($I$2:$I$1001,"?*",$F$2:$F$1001,IF(F587="Address issue","Address issue","&lt;&gt;Address issue"),$H$2:$H$1001,"&gt;"&amp;H587)+1)</f>
        <v/>
      </c>
    </row>
    <row r="588">
      <c r="A588" s="11" t="n">
        <v>100587</v>
      </c>
      <c r="B588" s="11" t="inlineStr">
        <is>
          <t>Мексика</t>
        </is>
      </c>
      <c r="C588" s="11" t="inlineStr">
        <is>
          <t>AndesCargo</t>
        </is>
      </c>
      <c r="D588" s="11" t="inlineStr">
        <is>
          <t>AC56556048</t>
        </is>
      </c>
      <c r="E588" s="12" t="n">
        <v>46287</v>
      </c>
      <c r="F588" s="11" t="inlineStr">
        <is>
          <t>Delivered</t>
        </is>
      </c>
      <c r="G588" s="12" t="n">
        <v>46291</v>
      </c>
      <c r="H588" s="5">
        <f>IF(G588="","",Rules!$B$1-G588)</f>
        <v/>
      </c>
      <c r="I588" s="5">
        <f>IF(F588="Address issue","address issue",IF(OR(F588="Delivered",F588="Returned to sender",G588=""),"",IF(AND(Rules!$B$3&lt;&gt;"",F588="Held at customs",H588&gt;=Rules!$B$3),"customs &gt;= "&amp;Rules!$B$3&amp;" days",IF(H588&gt;=Rules!$B$2,"idle &gt;= "&amp;Rules!$B$2&amp;" days",""))))</f>
        <v/>
      </c>
      <c r="J588" s="5">
        <f>IF(I588="","",IF(F588="Address issue",0,COUNTIF($I$2:$I$1001,"address issue"))+COUNTIFS($I$2:$I$1001,"?*",$F$2:$F$1001,IF(F588="Address issue","Address issue","&lt;&gt;Address issue"),$H$2:$H$1001,"&gt;"&amp;H588)+1)</f>
        <v/>
      </c>
    </row>
    <row r="589">
      <c r="A589" s="11" t="n">
        <v>100588</v>
      </c>
      <c r="B589" s="11" t="inlineStr">
        <is>
          <t>Мексика</t>
        </is>
      </c>
      <c r="C589" s="11" t="inlineStr">
        <is>
          <t>AndesCargo</t>
        </is>
      </c>
      <c r="D589" s="11" t="inlineStr">
        <is>
          <t>AC60788997</t>
        </is>
      </c>
      <c r="E589" s="12" t="n">
        <v>46281</v>
      </c>
      <c r="F589" s="11" t="inlineStr">
        <is>
          <t>Delivered</t>
        </is>
      </c>
      <c r="G589" s="12" t="n">
        <v>46286</v>
      </c>
      <c r="H589" s="5">
        <f>IF(G589="","",Rules!$B$1-G589)</f>
        <v/>
      </c>
      <c r="I589" s="5">
        <f>IF(F589="Address issue","address issue",IF(OR(F589="Delivered",F589="Returned to sender",G589=""),"",IF(AND(Rules!$B$3&lt;&gt;"",F589="Held at customs",H589&gt;=Rules!$B$3),"customs &gt;= "&amp;Rules!$B$3&amp;" days",IF(H589&gt;=Rules!$B$2,"idle &gt;= "&amp;Rules!$B$2&amp;" days",""))))</f>
        <v/>
      </c>
      <c r="J589" s="5">
        <f>IF(I589="","",IF(F589="Address issue",0,COUNTIF($I$2:$I$1001,"address issue"))+COUNTIFS($I$2:$I$1001,"?*",$F$2:$F$1001,IF(F589="Address issue","Address issue","&lt;&gt;Address issue"),$H$2:$H$1001,"&gt;"&amp;H589)+1)</f>
        <v/>
      </c>
    </row>
    <row r="590">
      <c r="A590" s="11" t="n">
        <v>100589</v>
      </c>
      <c r="B590" s="11" t="inlineStr">
        <is>
          <t>Бразилія</t>
        </is>
      </c>
      <c r="C590" s="11" t="inlineStr">
        <is>
          <t>SwiftParcel</t>
        </is>
      </c>
      <c r="D590" s="11" t="inlineStr">
        <is>
          <t>SP5193983</t>
        </is>
      </c>
      <c r="E590" s="13" t="n">
        <v>46306</v>
      </c>
      <c r="F590" s="11" t="inlineStr">
        <is>
          <t>In transit</t>
        </is>
      </c>
      <c r="G590" s="13" t="n">
        <v>46310</v>
      </c>
      <c r="H590" s="5">
        <f>IF(G590="","",Rules!$B$1-G590)</f>
        <v/>
      </c>
      <c r="I590" s="5">
        <f>IF(F590="Address issue","address issue",IF(OR(F590="Delivered",F590="Returned to sender",G590=""),"",IF(AND(Rules!$B$3&lt;&gt;"",F590="Held at customs",H590&gt;=Rules!$B$3),"customs &gt;= "&amp;Rules!$B$3&amp;" days",IF(H590&gt;=Rules!$B$2,"idle &gt;= "&amp;Rules!$B$2&amp;" days",""))))</f>
        <v/>
      </c>
      <c r="J590" s="5">
        <f>IF(I590="","",IF(F590="Address issue",0,COUNTIF($I$2:$I$1001,"address issue"))+COUNTIFS($I$2:$I$1001,"?*",$F$2:$F$1001,IF(F590="Address issue","Address issue","&lt;&gt;Address issue"),$H$2:$H$1001,"&gt;"&amp;H590)+1)</f>
        <v/>
      </c>
    </row>
    <row r="591">
      <c r="A591" s="11" t="n">
        <v>100590</v>
      </c>
      <c r="B591" s="11" t="inlineStr">
        <is>
          <t>Мексика</t>
        </is>
      </c>
      <c r="C591" s="11" t="inlineStr">
        <is>
          <t>AndesCargo</t>
        </is>
      </c>
      <c r="D591" s="11" t="inlineStr">
        <is>
          <t>AC11754310</t>
        </is>
      </c>
      <c r="E591" s="12" t="n">
        <v>46269</v>
      </c>
      <c r="F591" s="11" t="inlineStr">
        <is>
          <t>Delivered</t>
        </is>
      </c>
      <c r="G591" s="12" t="n">
        <v>46280</v>
      </c>
      <c r="H591" s="5">
        <f>IF(G591="","",Rules!$B$1-G591)</f>
        <v/>
      </c>
      <c r="I591" s="5">
        <f>IF(F591="Address issue","address issue",IF(OR(F591="Delivered",F591="Returned to sender",G591=""),"",IF(AND(Rules!$B$3&lt;&gt;"",F591="Held at customs",H591&gt;=Rules!$B$3),"customs &gt;= "&amp;Rules!$B$3&amp;" days",IF(H591&gt;=Rules!$B$2,"idle &gt;= "&amp;Rules!$B$2&amp;" days",""))))</f>
        <v/>
      </c>
      <c r="J591" s="5">
        <f>IF(I591="","",IF(F591="Address issue",0,COUNTIF($I$2:$I$1001,"address issue"))+COUNTIFS($I$2:$I$1001,"?*",$F$2:$F$1001,IF(F591="Address issue","Address issue","&lt;&gt;Address issue"),$H$2:$H$1001,"&gt;"&amp;H591)+1)</f>
        <v/>
      </c>
    </row>
    <row r="592">
      <c r="A592" s="11" t="n">
        <v>100591</v>
      </c>
      <c r="B592" s="11" t="inlineStr">
        <is>
          <t>Канада</t>
        </is>
      </c>
      <c r="C592" s="11" t="inlineStr">
        <is>
          <t>PostLink</t>
        </is>
      </c>
      <c r="D592" s="11" t="inlineStr">
        <is>
          <t>PL17303838</t>
        </is>
      </c>
      <c r="E592" s="12" t="n">
        <v>46278</v>
      </c>
      <c r="F592" s="11" t="inlineStr">
        <is>
          <t>Delivered</t>
        </is>
      </c>
      <c r="G592" s="12" t="n">
        <v>46284</v>
      </c>
      <c r="H592" s="5">
        <f>IF(G592="","",Rules!$B$1-G592)</f>
        <v/>
      </c>
      <c r="I592" s="5">
        <f>IF(F592="Address issue","address issue",IF(OR(F592="Delivered",F592="Returned to sender",G592=""),"",IF(AND(Rules!$B$3&lt;&gt;"",F592="Held at customs",H592&gt;=Rules!$B$3),"customs &gt;= "&amp;Rules!$B$3&amp;" days",IF(H592&gt;=Rules!$B$2,"idle &gt;= "&amp;Rules!$B$2&amp;" days",""))))</f>
        <v/>
      </c>
      <c r="J592" s="5">
        <f>IF(I592="","",IF(F592="Address issue",0,COUNTIF($I$2:$I$1001,"address issue"))+COUNTIFS($I$2:$I$1001,"?*",$F$2:$F$1001,IF(F592="Address issue","Address issue","&lt;&gt;Address issue"),$H$2:$H$1001,"&gt;"&amp;H592)+1)</f>
        <v/>
      </c>
    </row>
    <row r="593">
      <c r="A593" s="11" t="n">
        <v>100592</v>
      </c>
      <c r="B593" s="11" t="inlineStr">
        <is>
          <t>Мексика</t>
        </is>
      </c>
      <c r="C593" s="11" t="inlineStr">
        <is>
          <t>SwiftParcel</t>
        </is>
      </c>
      <c r="D593" s="11" t="inlineStr">
        <is>
          <t>SP8013462</t>
        </is>
      </c>
      <c r="E593" s="12" t="n">
        <v>46299</v>
      </c>
      <c r="F593" s="11" t="inlineStr">
        <is>
          <t>In transit</t>
        </is>
      </c>
      <c r="G593" s="12" t="n">
        <v>46302</v>
      </c>
      <c r="H593" s="5">
        <f>IF(G593="","",Rules!$B$1-G593)</f>
        <v/>
      </c>
      <c r="I593" s="5">
        <f>IF(F593="Address issue","address issue",IF(OR(F593="Delivered",F593="Returned to sender",G593=""),"",IF(AND(Rules!$B$3&lt;&gt;"",F593="Held at customs",H593&gt;=Rules!$B$3),"customs &gt;= "&amp;Rules!$B$3&amp;" days",IF(H593&gt;=Rules!$B$2,"idle &gt;= "&amp;Rules!$B$2&amp;" days",""))))</f>
        <v/>
      </c>
      <c r="J593" s="5">
        <f>IF(I593="","",IF(F593="Address issue",0,COUNTIF($I$2:$I$1001,"address issue"))+COUNTIFS($I$2:$I$1001,"?*",$F$2:$F$1001,IF(F593="Address issue","Address issue","&lt;&gt;Address issue"),$H$2:$H$1001,"&gt;"&amp;H593)+1)</f>
        <v/>
      </c>
    </row>
    <row r="594">
      <c r="A594" s="11" t="n">
        <v>100593</v>
      </c>
      <c r="B594" s="11" t="inlineStr">
        <is>
          <t>Мексика</t>
        </is>
      </c>
      <c r="C594" s="11" t="inlineStr">
        <is>
          <t>AndesCargo</t>
        </is>
      </c>
      <c r="D594" s="11" t="inlineStr">
        <is>
          <t>AC90803170</t>
        </is>
      </c>
      <c r="E594" s="12" t="n">
        <v>46297</v>
      </c>
      <c r="F594" s="11" t="inlineStr">
        <is>
          <t>Out for delivery</t>
        </is>
      </c>
      <c r="G594" s="12" t="n">
        <v>46300</v>
      </c>
      <c r="H594" s="5">
        <f>IF(G594="","",Rules!$B$1-G594)</f>
        <v/>
      </c>
      <c r="I594" s="5">
        <f>IF(F594="Address issue","address issue",IF(OR(F594="Delivered",F594="Returned to sender",G594=""),"",IF(AND(Rules!$B$3&lt;&gt;"",F594="Held at customs",H594&gt;=Rules!$B$3),"customs &gt;= "&amp;Rules!$B$3&amp;" days",IF(H594&gt;=Rules!$B$2,"idle &gt;= "&amp;Rules!$B$2&amp;" days",""))))</f>
        <v/>
      </c>
      <c r="J594" s="5">
        <f>IF(I594="","",IF(F594="Address issue",0,COUNTIF($I$2:$I$1001,"address issue"))+COUNTIFS($I$2:$I$1001,"?*",$F$2:$F$1001,IF(F594="Address issue","Address issue","&lt;&gt;Address issue"),$H$2:$H$1001,"&gt;"&amp;H594)+1)</f>
        <v/>
      </c>
    </row>
    <row r="595">
      <c r="A595" s="11" t="n">
        <v>100594</v>
      </c>
      <c r="B595" s="11" t="inlineStr">
        <is>
          <t>Мексика</t>
        </is>
      </c>
      <c r="C595" s="11" t="inlineStr">
        <is>
          <t>AndesCargo</t>
        </is>
      </c>
      <c r="D595" s="11" t="inlineStr">
        <is>
          <t>AC90963733</t>
        </is>
      </c>
      <c r="E595" s="12" t="n">
        <v>46304</v>
      </c>
      <c r="F595" s="11" t="inlineStr">
        <is>
          <t>In transit</t>
        </is>
      </c>
      <c r="G595" s="13" t="n">
        <v>46307</v>
      </c>
      <c r="H595" s="5">
        <f>IF(G595="","",Rules!$B$1-G595)</f>
        <v/>
      </c>
      <c r="I595" s="5">
        <f>IF(F595="Address issue","address issue",IF(OR(F595="Delivered",F595="Returned to sender",G595=""),"",IF(AND(Rules!$B$3&lt;&gt;"",F595="Held at customs",H595&gt;=Rules!$B$3),"customs &gt;= "&amp;Rules!$B$3&amp;" days",IF(H595&gt;=Rules!$B$2,"idle &gt;= "&amp;Rules!$B$2&amp;" days",""))))</f>
        <v/>
      </c>
      <c r="J595" s="5">
        <f>IF(I595="","",IF(F595="Address issue",0,COUNTIF($I$2:$I$1001,"address issue"))+COUNTIFS($I$2:$I$1001,"?*",$F$2:$F$1001,IF(F595="Address issue","Address issue","&lt;&gt;Address issue"),$H$2:$H$1001,"&gt;"&amp;H595)+1)</f>
        <v/>
      </c>
    </row>
    <row r="596">
      <c r="A596" s="11" t="n">
        <v>100595</v>
      </c>
      <c r="B596" s="11" t="inlineStr">
        <is>
          <t>Канада</t>
        </is>
      </c>
      <c r="C596" s="11" t="inlineStr">
        <is>
          <t>PostLink</t>
        </is>
      </c>
      <c r="D596" s="11" t="inlineStr">
        <is>
          <t>PL30352512</t>
        </is>
      </c>
      <c r="E596" s="12" t="n">
        <v>46300</v>
      </c>
      <c r="F596" s="11" t="inlineStr">
        <is>
          <t>Delivered</t>
        </is>
      </c>
      <c r="G596" s="12" t="n">
        <v>46304</v>
      </c>
      <c r="H596" s="5">
        <f>IF(G596="","",Rules!$B$1-G596)</f>
        <v/>
      </c>
      <c r="I596" s="5">
        <f>IF(F596="Address issue","address issue",IF(OR(F596="Delivered",F596="Returned to sender",G596=""),"",IF(AND(Rules!$B$3&lt;&gt;"",F596="Held at customs",H596&gt;=Rules!$B$3),"customs &gt;= "&amp;Rules!$B$3&amp;" days",IF(H596&gt;=Rules!$B$2,"idle &gt;= "&amp;Rules!$B$2&amp;" days",""))))</f>
        <v/>
      </c>
      <c r="J596" s="5">
        <f>IF(I596="","",IF(F596="Address issue",0,COUNTIF($I$2:$I$1001,"address issue"))+COUNTIFS($I$2:$I$1001,"?*",$F$2:$F$1001,IF(F596="Address issue","Address issue","&lt;&gt;Address issue"),$H$2:$H$1001,"&gt;"&amp;H596)+1)</f>
        <v/>
      </c>
    </row>
    <row r="597">
      <c r="A597" s="11" t="n">
        <v>100596</v>
      </c>
      <c r="B597" s="11" t="inlineStr">
        <is>
          <t>Мексика</t>
        </is>
      </c>
      <c r="C597" s="11" t="inlineStr">
        <is>
          <t>AndesCargo</t>
        </is>
      </c>
      <c r="D597" s="11" t="inlineStr">
        <is>
          <t>AC83594499</t>
        </is>
      </c>
      <c r="E597" s="12" t="n">
        <v>46286</v>
      </c>
      <c r="F597" s="11" t="inlineStr">
        <is>
          <t>Delivered</t>
        </is>
      </c>
      <c r="G597" s="12" t="n">
        <v>46291</v>
      </c>
      <c r="H597" s="5">
        <f>IF(G597="","",Rules!$B$1-G597)</f>
        <v/>
      </c>
      <c r="I597" s="5">
        <f>IF(F597="Address issue","address issue",IF(OR(F597="Delivered",F597="Returned to sender",G597=""),"",IF(AND(Rules!$B$3&lt;&gt;"",F597="Held at customs",H597&gt;=Rules!$B$3),"customs &gt;= "&amp;Rules!$B$3&amp;" days",IF(H597&gt;=Rules!$B$2,"idle &gt;= "&amp;Rules!$B$2&amp;" days",""))))</f>
        <v/>
      </c>
      <c r="J597" s="5">
        <f>IF(I597="","",IF(F597="Address issue",0,COUNTIF($I$2:$I$1001,"address issue"))+COUNTIFS($I$2:$I$1001,"?*",$F$2:$F$1001,IF(F597="Address issue","Address issue","&lt;&gt;Address issue"),$H$2:$H$1001,"&gt;"&amp;H597)+1)</f>
        <v/>
      </c>
    </row>
    <row r="598">
      <c r="A598" s="11" t="n">
        <v>100597</v>
      </c>
      <c r="B598" s="11" t="inlineStr">
        <is>
          <t>Канада</t>
        </is>
      </c>
      <c r="C598" s="11" t="inlineStr">
        <is>
          <t>PostLink</t>
        </is>
      </c>
      <c r="D598" s="11" t="inlineStr">
        <is>
          <t>PL59951844</t>
        </is>
      </c>
      <c r="E598" s="12" t="n">
        <v>46274</v>
      </c>
      <c r="F598" s="11" t="inlineStr">
        <is>
          <t>Delivered</t>
        </is>
      </c>
      <c r="G598" s="12" t="n">
        <v>46286</v>
      </c>
      <c r="H598" s="5">
        <f>IF(G598="","",Rules!$B$1-G598)</f>
        <v/>
      </c>
      <c r="I598" s="5">
        <f>IF(F598="Address issue","address issue",IF(OR(F598="Delivered",F598="Returned to sender",G598=""),"",IF(AND(Rules!$B$3&lt;&gt;"",F598="Held at customs",H598&gt;=Rules!$B$3),"customs &gt;= "&amp;Rules!$B$3&amp;" days",IF(H598&gt;=Rules!$B$2,"idle &gt;= "&amp;Rules!$B$2&amp;" days",""))))</f>
        <v/>
      </c>
      <c r="J598" s="5">
        <f>IF(I598="","",IF(F598="Address issue",0,COUNTIF($I$2:$I$1001,"address issue"))+COUNTIFS($I$2:$I$1001,"?*",$F$2:$F$1001,IF(F598="Address issue","Address issue","&lt;&gt;Address issue"),$H$2:$H$1001,"&gt;"&amp;H598)+1)</f>
        <v/>
      </c>
    </row>
    <row r="599">
      <c r="A599" s="11" t="n">
        <v>100598</v>
      </c>
      <c r="B599" s="11" t="inlineStr">
        <is>
          <t>Канада</t>
        </is>
      </c>
      <c r="C599" s="11" t="inlineStr">
        <is>
          <t>PostLink</t>
        </is>
      </c>
      <c r="D599" s="11" t="inlineStr">
        <is>
          <t>PL98131180</t>
        </is>
      </c>
      <c r="E599" s="12" t="n">
        <v>46297</v>
      </c>
      <c r="F599" s="11" t="inlineStr">
        <is>
          <t>Delivered</t>
        </is>
      </c>
      <c r="G599" s="12" t="n">
        <v>46302</v>
      </c>
      <c r="H599" s="5">
        <f>IF(G599="","",Rules!$B$1-G599)</f>
        <v/>
      </c>
      <c r="I599" s="5">
        <f>IF(F599="Address issue","address issue",IF(OR(F599="Delivered",F599="Returned to sender",G599=""),"",IF(AND(Rules!$B$3&lt;&gt;"",F599="Held at customs",H599&gt;=Rules!$B$3),"customs &gt;= "&amp;Rules!$B$3&amp;" days",IF(H599&gt;=Rules!$B$2,"idle &gt;= "&amp;Rules!$B$2&amp;" days",""))))</f>
        <v/>
      </c>
      <c r="J599" s="5">
        <f>IF(I599="","",IF(F599="Address issue",0,COUNTIF($I$2:$I$1001,"address issue"))+COUNTIFS($I$2:$I$1001,"?*",$F$2:$F$1001,IF(F599="Address issue","Address issue","&lt;&gt;Address issue"),$H$2:$H$1001,"&gt;"&amp;H599)+1)</f>
        <v/>
      </c>
    </row>
    <row r="600">
      <c r="A600" s="11" t="n">
        <v>100599</v>
      </c>
      <c r="B600" s="11" t="inlineStr">
        <is>
          <t>Бразилія</t>
        </is>
      </c>
      <c r="C600" s="11" t="inlineStr">
        <is>
          <t>SwiftParcel</t>
        </is>
      </c>
      <c r="D600" s="11" t="inlineStr">
        <is>
          <t>SP4703194</t>
        </is>
      </c>
      <c r="E600" s="12" t="n">
        <v>46281</v>
      </c>
      <c r="F600" s="11" t="inlineStr">
        <is>
          <t>Delivered</t>
        </is>
      </c>
      <c r="G600" s="12" t="n">
        <v>46293</v>
      </c>
      <c r="H600" s="5">
        <f>IF(G600="","",Rules!$B$1-G600)</f>
        <v/>
      </c>
      <c r="I600" s="5">
        <f>IF(F600="Address issue","address issue",IF(OR(F600="Delivered",F600="Returned to sender",G600=""),"",IF(AND(Rules!$B$3&lt;&gt;"",F600="Held at customs",H600&gt;=Rules!$B$3),"customs &gt;= "&amp;Rules!$B$3&amp;" days",IF(H600&gt;=Rules!$B$2,"idle &gt;= "&amp;Rules!$B$2&amp;" days",""))))</f>
        <v/>
      </c>
      <c r="J600" s="5">
        <f>IF(I600="","",IF(F600="Address issue",0,COUNTIF($I$2:$I$1001,"address issue"))+COUNTIFS($I$2:$I$1001,"?*",$F$2:$F$1001,IF(F600="Address issue","Address issue","&lt;&gt;Address issue"),$H$2:$H$1001,"&gt;"&amp;H600)+1)</f>
        <v/>
      </c>
    </row>
    <row r="601">
      <c r="A601" s="11" t="n">
        <v>100600</v>
      </c>
      <c r="B601" s="11" t="inlineStr">
        <is>
          <t>Канада</t>
        </is>
      </c>
      <c r="C601" s="11" t="inlineStr">
        <is>
          <t>PostLink</t>
        </is>
      </c>
      <c r="D601" s="11" t="inlineStr">
        <is>
          <t>PL67528431</t>
        </is>
      </c>
      <c r="E601" s="12" t="n">
        <v>46298</v>
      </c>
      <c r="F601" s="11" t="inlineStr">
        <is>
          <t>Delivered</t>
        </is>
      </c>
      <c r="G601" s="13" t="n">
        <v>46307</v>
      </c>
      <c r="H601" s="5">
        <f>IF(G601="","",Rules!$B$1-G601)</f>
        <v/>
      </c>
      <c r="I601" s="5">
        <f>IF(F601="Address issue","address issue",IF(OR(F601="Delivered",F601="Returned to sender",G601=""),"",IF(AND(Rules!$B$3&lt;&gt;"",F601="Held at customs",H601&gt;=Rules!$B$3),"customs &gt;= "&amp;Rules!$B$3&amp;" days",IF(H601&gt;=Rules!$B$2,"idle &gt;= "&amp;Rules!$B$2&amp;" days",""))))</f>
        <v/>
      </c>
      <c r="J601" s="5">
        <f>IF(I601="","",IF(F601="Address issue",0,COUNTIF($I$2:$I$1001,"address issue"))+COUNTIFS($I$2:$I$1001,"?*",$F$2:$F$1001,IF(F601="Address issue","Address issue","&lt;&gt;Address issue"),$H$2:$H$1001,"&gt;"&amp;H601)+1)</f>
        <v/>
      </c>
    </row>
    <row r="602">
      <c r="A602" s="11" t="n">
        <v>100601</v>
      </c>
      <c r="B602" s="11" t="inlineStr">
        <is>
          <t>Канада</t>
        </is>
      </c>
      <c r="C602" s="11" t="inlineStr">
        <is>
          <t>PostLink</t>
        </is>
      </c>
      <c r="D602" s="11" t="inlineStr">
        <is>
          <t>PL54635802</t>
        </is>
      </c>
      <c r="E602" s="12" t="n">
        <v>46284</v>
      </c>
      <c r="F602" s="11" t="inlineStr">
        <is>
          <t>Delivered</t>
        </is>
      </c>
      <c r="G602" s="12" t="n">
        <v>46293</v>
      </c>
      <c r="H602" s="5">
        <f>IF(G602="","",Rules!$B$1-G602)</f>
        <v/>
      </c>
      <c r="I602" s="5">
        <f>IF(F602="Address issue","address issue",IF(OR(F602="Delivered",F602="Returned to sender",G602=""),"",IF(AND(Rules!$B$3&lt;&gt;"",F602="Held at customs",H602&gt;=Rules!$B$3),"customs &gt;= "&amp;Rules!$B$3&amp;" days",IF(H602&gt;=Rules!$B$2,"idle &gt;= "&amp;Rules!$B$2&amp;" days",""))))</f>
        <v/>
      </c>
      <c r="J602" s="5">
        <f>IF(I602="","",IF(F602="Address issue",0,COUNTIF($I$2:$I$1001,"address issue"))+COUNTIFS($I$2:$I$1001,"?*",$F$2:$F$1001,IF(F602="Address issue","Address issue","&lt;&gt;Address issue"),$H$2:$H$1001,"&gt;"&amp;H602)+1)</f>
        <v/>
      </c>
    </row>
    <row r="603">
      <c r="A603" s="11" t="n">
        <v>100602</v>
      </c>
      <c r="B603" s="11" t="inlineStr">
        <is>
          <t>Канада</t>
        </is>
      </c>
      <c r="C603" s="11" t="inlineStr">
        <is>
          <t>PostLink</t>
        </is>
      </c>
      <c r="D603" s="11" t="inlineStr">
        <is>
          <t>PL16545401</t>
        </is>
      </c>
      <c r="E603" s="13" t="n">
        <v>46309</v>
      </c>
      <c r="F603" s="11" t="inlineStr">
        <is>
          <t>Label created</t>
        </is>
      </c>
      <c r="G603" s="13" t="n">
        <v>46309</v>
      </c>
      <c r="H603" s="5">
        <f>IF(G603="","",Rules!$B$1-G603)</f>
        <v/>
      </c>
      <c r="I603" s="5">
        <f>IF(F603="Address issue","address issue",IF(OR(F603="Delivered",F603="Returned to sender",G603=""),"",IF(AND(Rules!$B$3&lt;&gt;"",F603="Held at customs",H603&gt;=Rules!$B$3),"customs &gt;= "&amp;Rules!$B$3&amp;" days",IF(H603&gt;=Rules!$B$2,"idle &gt;= "&amp;Rules!$B$2&amp;" days",""))))</f>
        <v/>
      </c>
      <c r="J603" s="5">
        <f>IF(I603="","",IF(F603="Address issue",0,COUNTIF($I$2:$I$1001,"address issue"))+COUNTIFS($I$2:$I$1001,"?*",$F$2:$F$1001,IF(F603="Address issue","Address issue","&lt;&gt;Address issue"),$H$2:$H$1001,"&gt;"&amp;H603)+1)</f>
        <v/>
      </c>
    </row>
    <row r="604">
      <c r="A604" s="11" t="n">
        <v>100603</v>
      </c>
      <c r="B604" s="11" t="inlineStr">
        <is>
          <t>Канада</t>
        </is>
      </c>
      <c r="C604" s="11" t="inlineStr">
        <is>
          <t>PostLink</t>
        </is>
      </c>
      <c r="D604" s="11" t="inlineStr">
        <is>
          <t>PL86897493</t>
        </is>
      </c>
      <c r="E604" s="12" t="n">
        <v>46297</v>
      </c>
      <c r="F604" s="11" t="inlineStr">
        <is>
          <t>In transit</t>
        </is>
      </c>
      <c r="G604" s="13" t="n">
        <v>46305</v>
      </c>
      <c r="H604" s="5">
        <f>IF(G604="","",Rules!$B$1-G604)</f>
        <v/>
      </c>
      <c r="I604" s="5">
        <f>IF(F604="Address issue","address issue",IF(OR(F604="Delivered",F604="Returned to sender",G604=""),"",IF(AND(Rules!$B$3&lt;&gt;"",F604="Held at customs",H604&gt;=Rules!$B$3),"customs &gt;= "&amp;Rules!$B$3&amp;" days",IF(H604&gt;=Rules!$B$2,"idle &gt;= "&amp;Rules!$B$2&amp;" days",""))))</f>
        <v/>
      </c>
      <c r="J604" s="5">
        <f>IF(I604="","",IF(F604="Address issue",0,COUNTIF($I$2:$I$1001,"address issue"))+COUNTIFS($I$2:$I$1001,"?*",$F$2:$F$1001,IF(F604="Address issue","Address issue","&lt;&gt;Address issue"),$H$2:$H$1001,"&gt;"&amp;H604)+1)</f>
        <v/>
      </c>
    </row>
    <row r="605">
      <c r="A605" s="11" t="n">
        <v>100604</v>
      </c>
      <c r="B605" s="11" t="inlineStr">
        <is>
          <t>Бразилія</t>
        </is>
      </c>
      <c r="C605" s="11" t="inlineStr">
        <is>
          <t>SwiftParcel</t>
        </is>
      </c>
      <c r="D605" s="11" t="inlineStr">
        <is>
          <t>SP9006703</t>
        </is>
      </c>
      <c r="E605" s="12" t="n">
        <v>46293</v>
      </c>
      <c r="F605" s="11" t="inlineStr">
        <is>
          <t>Delivered</t>
        </is>
      </c>
      <c r="G605" s="12" t="n">
        <v>46304</v>
      </c>
      <c r="H605" s="5">
        <f>IF(G605="","",Rules!$B$1-G605)</f>
        <v/>
      </c>
      <c r="I605" s="5">
        <f>IF(F605="Address issue","address issue",IF(OR(F605="Delivered",F605="Returned to sender",G605=""),"",IF(AND(Rules!$B$3&lt;&gt;"",F605="Held at customs",H605&gt;=Rules!$B$3),"customs &gt;= "&amp;Rules!$B$3&amp;" days",IF(H605&gt;=Rules!$B$2,"idle &gt;= "&amp;Rules!$B$2&amp;" days",""))))</f>
        <v/>
      </c>
      <c r="J605" s="5">
        <f>IF(I605="","",IF(F605="Address issue",0,COUNTIF($I$2:$I$1001,"address issue"))+COUNTIFS($I$2:$I$1001,"?*",$F$2:$F$1001,IF(F605="Address issue","Address issue","&lt;&gt;Address issue"),$H$2:$H$1001,"&gt;"&amp;H605)+1)</f>
        <v/>
      </c>
    </row>
    <row r="606">
      <c r="A606" s="11" t="n">
        <v>100605</v>
      </c>
      <c r="B606" s="11" t="inlineStr">
        <is>
          <t>Мексика</t>
        </is>
      </c>
      <c r="C606" s="11" t="inlineStr">
        <is>
          <t>AndesCargo</t>
        </is>
      </c>
      <c r="D606" s="11" t="inlineStr">
        <is>
          <t>AC24201838</t>
        </is>
      </c>
      <c r="E606" s="12" t="n">
        <v>46295</v>
      </c>
      <c r="F606" s="11" t="inlineStr">
        <is>
          <t>In transit</t>
        </is>
      </c>
      <c r="G606" s="12" t="n">
        <v>46300</v>
      </c>
      <c r="H606" s="5">
        <f>IF(G606="","",Rules!$B$1-G606)</f>
        <v/>
      </c>
      <c r="I606" s="5">
        <f>IF(F606="Address issue","address issue",IF(OR(F606="Delivered",F606="Returned to sender",G606=""),"",IF(AND(Rules!$B$3&lt;&gt;"",F606="Held at customs",H606&gt;=Rules!$B$3),"customs &gt;= "&amp;Rules!$B$3&amp;" days",IF(H606&gt;=Rules!$B$2,"idle &gt;= "&amp;Rules!$B$2&amp;" days",""))))</f>
        <v/>
      </c>
      <c r="J606" s="5">
        <f>IF(I606="","",IF(F606="Address issue",0,COUNTIF($I$2:$I$1001,"address issue"))+COUNTIFS($I$2:$I$1001,"?*",$F$2:$F$1001,IF(F606="Address issue","Address issue","&lt;&gt;Address issue"),$H$2:$H$1001,"&gt;"&amp;H606)+1)</f>
        <v/>
      </c>
    </row>
    <row r="607">
      <c r="A607" s="11" t="n">
        <v>100606</v>
      </c>
      <c r="B607" s="11" t="inlineStr">
        <is>
          <t>Канада</t>
        </is>
      </c>
      <c r="C607" s="11" t="inlineStr">
        <is>
          <t>PostLink</t>
        </is>
      </c>
      <c r="D607" s="11" t="inlineStr">
        <is>
          <t>PL78726535</t>
        </is>
      </c>
      <c r="E607" s="12" t="n">
        <v>46294</v>
      </c>
      <c r="F607" s="11" t="inlineStr">
        <is>
          <t>Delivered</t>
        </is>
      </c>
      <c r="G607" s="12" t="n">
        <v>46303</v>
      </c>
      <c r="H607" s="5">
        <f>IF(G607="","",Rules!$B$1-G607)</f>
        <v/>
      </c>
      <c r="I607" s="5">
        <f>IF(F607="Address issue","address issue",IF(OR(F607="Delivered",F607="Returned to sender",G607=""),"",IF(AND(Rules!$B$3&lt;&gt;"",F607="Held at customs",H607&gt;=Rules!$B$3),"customs &gt;= "&amp;Rules!$B$3&amp;" days",IF(H607&gt;=Rules!$B$2,"idle &gt;= "&amp;Rules!$B$2&amp;" days",""))))</f>
        <v/>
      </c>
      <c r="J607" s="5">
        <f>IF(I607="","",IF(F607="Address issue",0,COUNTIF($I$2:$I$1001,"address issue"))+COUNTIFS($I$2:$I$1001,"?*",$F$2:$F$1001,IF(F607="Address issue","Address issue","&lt;&gt;Address issue"),$H$2:$H$1001,"&gt;"&amp;H607)+1)</f>
        <v/>
      </c>
    </row>
    <row r="608">
      <c r="A608" s="11" t="n">
        <v>100607</v>
      </c>
      <c r="B608" s="11" t="inlineStr">
        <is>
          <t>Мексика</t>
        </is>
      </c>
      <c r="C608" s="11" t="inlineStr">
        <is>
          <t>AndesCargo</t>
        </is>
      </c>
      <c r="D608" s="11" t="inlineStr">
        <is>
          <t>AC37381323</t>
        </is>
      </c>
      <c r="E608" s="12" t="n">
        <v>46303</v>
      </c>
      <c r="F608" s="11" t="inlineStr">
        <is>
          <t>Out for delivery</t>
        </is>
      </c>
      <c r="G608" s="13" t="n">
        <v>46310</v>
      </c>
      <c r="H608" s="5">
        <f>IF(G608="","",Rules!$B$1-G608)</f>
        <v/>
      </c>
      <c r="I608" s="5">
        <f>IF(F608="Address issue","address issue",IF(OR(F608="Delivered",F608="Returned to sender",G608=""),"",IF(AND(Rules!$B$3&lt;&gt;"",F608="Held at customs",H608&gt;=Rules!$B$3),"customs &gt;= "&amp;Rules!$B$3&amp;" days",IF(H608&gt;=Rules!$B$2,"idle &gt;= "&amp;Rules!$B$2&amp;" days",""))))</f>
        <v/>
      </c>
      <c r="J608" s="5">
        <f>IF(I608="","",IF(F608="Address issue",0,COUNTIF($I$2:$I$1001,"address issue"))+COUNTIFS($I$2:$I$1001,"?*",$F$2:$F$1001,IF(F608="Address issue","Address issue","&lt;&gt;Address issue"),$H$2:$H$1001,"&gt;"&amp;H608)+1)</f>
        <v/>
      </c>
    </row>
    <row r="609">
      <c r="A609" s="11" t="n">
        <v>100608</v>
      </c>
      <c r="B609" s="11" t="inlineStr">
        <is>
          <t>Бразилія</t>
        </is>
      </c>
      <c r="C609" s="11" t="inlineStr">
        <is>
          <t>SwiftParcel</t>
        </is>
      </c>
      <c r="D609" s="11" t="inlineStr">
        <is>
          <t>SP4535919</t>
        </is>
      </c>
      <c r="E609" s="12" t="n">
        <v>46280</v>
      </c>
      <c r="F609" s="11" t="inlineStr">
        <is>
          <t>Delivered</t>
        </is>
      </c>
      <c r="G609" s="12" t="n">
        <v>46287</v>
      </c>
      <c r="H609" s="5">
        <f>IF(G609="","",Rules!$B$1-G609)</f>
        <v/>
      </c>
      <c r="I609" s="5">
        <f>IF(F609="Address issue","address issue",IF(OR(F609="Delivered",F609="Returned to sender",G609=""),"",IF(AND(Rules!$B$3&lt;&gt;"",F609="Held at customs",H609&gt;=Rules!$B$3),"customs &gt;= "&amp;Rules!$B$3&amp;" days",IF(H609&gt;=Rules!$B$2,"idle &gt;= "&amp;Rules!$B$2&amp;" days",""))))</f>
        <v/>
      </c>
      <c r="J609" s="5">
        <f>IF(I609="","",IF(F609="Address issue",0,COUNTIF($I$2:$I$1001,"address issue"))+COUNTIFS($I$2:$I$1001,"?*",$F$2:$F$1001,IF(F609="Address issue","Address issue","&lt;&gt;Address issue"),$H$2:$H$1001,"&gt;"&amp;H609)+1)</f>
        <v/>
      </c>
    </row>
    <row r="610">
      <c r="A610" s="11" t="n">
        <v>100609</v>
      </c>
      <c r="B610" s="11" t="inlineStr">
        <is>
          <t>Канада</t>
        </is>
      </c>
      <c r="C610" s="11" t="inlineStr">
        <is>
          <t>PostLink</t>
        </is>
      </c>
      <c r="D610" s="11" t="inlineStr">
        <is>
          <t>PL53699228</t>
        </is>
      </c>
      <c r="E610" s="12" t="n">
        <v>46296</v>
      </c>
      <c r="F610" s="11" t="inlineStr">
        <is>
          <t>Label created</t>
        </is>
      </c>
      <c r="G610" s="12" t="n">
        <v>46296</v>
      </c>
      <c r="H610" s="5">
        <f>IF(G610="","",Rules!$B$1-G610)</f>
        <v/>
      </c>
      <c r="I610" s="5">
        <f>IF(F610="Address issue","address issue",IF(OR(F610="Delivered",F610="Returned to sender",G610=""),"",IF(AND(Rules!$B$3&lt;&gt;"",F610="Held at customs",H610&gt;=Rules!$B$3),"customs &gt;= "&amp;Rules!$B$3&amp;" days",IF(H610&gt;=Rules!$B$2,"idle &gt;= "&amp;Rules!$B$2&amp;" days",""))))</f>
        <v/>
      </c>
      <c r="J610" s="5">
        <f>IF(I610="","",IF(F610="Address issue",0,COUNTIF($I$2:$I$1001,"address issue"))+COUNTIFS($I$2:$I$1001,"?*",$F$2:$F$1001,IF(F610="Address issue","Address issue","&lt;&gt;Address issue"),$H$2:$H$1001,"&gt;"&amp;H610)+1)</f>
        <v/>
      </c>
    </row>
    <row r="611">
      <c r="A611" s="11" t="n">
        <v>100610</v>
      </c>
      <c r="B611" s="11" t="inlineStr">
        <is>
          <t>Бразилія</t>
        </is>
      </c>
      <c r="C611" s="11" t="inlineStr">
        <is>
          <t>SwiftParcel</t>
        </is>
      </c>
      <c r="D611" s="5" t="n"/>
      <c r="E611" s="12" t="n">
        <v>46291</v>
      </c>
      <c r="F611" s="5" t="n"/>
      <c r="G611" s="5" t="n"/>
      <c r="H611" s="5">
        <f>IF(G611="","",Rules!$B$1-G611)</f>
        <v/>
      </c>
      <c r="I611" s="5">
        <f>IF(F611="Address issue","address issue",IF(OR(F611="Delivered",F611="Returned to sender",G611=""),"",IF(AND(Rules!$B$3&lt;&gt;"",F611="Held at customs",H611&gt;=Rules!$B$3),"customs &gt;= "&amp;Rules!$B$3&amp;" days",IF(H611&gt;=Rules!$B$2,"idle &gt;= "&amp;Rules!$B$2&amp;" days",""))))</f>
        <v/>
      </c>
      <c r="J611" s="5">
        <f>IF(I611="","",IF(F611="Address issue",0,COUNTIF($I$2:$I$1001,"address issue"))+COUNTIFS($I$2:$I$1001,"?*",$F$2:$F$1001,IF(F611="Address issue","Address issue","&lt;&gt;Address issue"),$H$2:$H$1001,"&gt;"&amp;H611)+1)</f>
        <v/>
      </c>
    </row>
    <row r="612">
      <c r="A612" s="11" t="n">
        <v>100611</v>
      </c>
      <c r="B612" s="11" t="inlineStr">
        <is>
          <t>Мексика</t>
        </is>
      </c>
      <c r="C612" s="11" t="inlineStr">
        <is>
          <t>SwiftParcel</t>
        </is>
      </c>
      <c r="D612" s="11" t="inlineStr">
        <is>
          <t>SP7187850</t>
        </is>
      </c>
      <c r="E612" s="12" t="n">
        <v>46285</v>
      </c>
      <c r="F612" s="11" t="inlineStr">
        <is>
          <t>Delivered</t>
        </is>
      </c>
      <c r="G612" s="12" t="n">
        <v>46295</v>
      </c>
      <c r="H612" s="5">
        <f>IF(G612="","",Rules!$B$1-G612)</f>
        <v/>
      </c>
      <c r="I612" s="5">
        <f>IF(F612="Address issue","address issue",IF(OR(F612="Delivered",F612="Returned to sender",G612=""),"",IF(AND(Rules!$B$3&lt;&gt;"",F612="Held at customs",H612&gt;=Rules!$B$3),"customs &gt;= "&amp;Rules!$B$3&amp;" days",IF(H612&gt;=Rules!$B$2,"idle &gt;= "&amp;Rules!$B$2&amp;" days",""))))</f>
        <v/>
      </c>
      <c r="J612" s="5">
        <f>IF(I612="","",IF(F612="Address issue",0,COUNTIF($I$2:$I$1001,"address issue"))+COUNTIFS($I$2:$I$1001,"?*",$F$2:$F$1001,IF(F612="Address issue","Address issue","&lt;&gt;Address issue"),$H$2:$H$1001,"&gt;"&amp;H612)+1)</f>
        <v/>
      </c>
    </row>
    <row r="613">
      <c r="A613" s="11" t="n">
        <v>100612</v>
      </c>
      <c r="B613" s="11" t="inlineStr">
        <is>
          <t>Мексика</t>
        </is>
      </c>
      <c r="C613" s="11" t="inlineStr">
        <is>
          <t>AndesCargo</t>
        </is>
      </c>
      <c r="D613" s="11" t="inlineStr">
        <is>
          <t>AC99401101</t>
        </is>
      </c>
      <c r="E613" s="12" t="n">
        <v>46269</v>
      </c>
      <c r="F613" s="11" t="inlineStr">
        <is>
          <t>Delivered</t>
        </is>
      </c>
      <c r="G613" s="12" t="n">
        <v>46281</v>
      </c>
      <c r="H613" s="5">
        <f>IF(G613="","",Rules!$B$1-G613)</f>
        <v/>
      </c>
      <c r="I613" s="5">
        <f>IF(F613="Address issue","address issue",IF(OR(F613="Delivered",F613="Returned to sender",G613=""),"",IF(AND(Rules!$B$3&lt;&gt;"",F613="Held at customs",H613&gt;=Rules!$B$3),"customs &gt;= "&amp;Rules!$B$3&amp;" days",IF(H613&gt;=Rules!$B$2,"idle &gt;= "&amp;Rules!$B$2&amp;" days",""))))</f>
        <v/>
      </c>
      <c r="J613" s="5">
        <f>IF(I613="","",IF(F613="Address issue",0,COUNTIF($I$2:$I$1001,"address issue"))+COUNTIFS($I$2:$I$1001,"?*",$F$2:$F$1001,IF(F613="Address issue","Address issue","&lt;&gt;Address issue"),$H$2:$H$1001,"&gt;"&amp;H613)+1)</f>
        <v/>
      </c>
    </row>
    <row r="614">
      <c r="A614" s="11" t="n">
        <v>100613</v>
      </c>
      <c r="B614" s="11" t="inlineStr">
        <is>
          <t>Канада</t>
        </is>
      </c>
      <c r="C614" s="11" t="inlineStr">
        <is>
          <t>PostLink</t>
        </is>
      </c>
      <c r="D614" s="11" t="inlineStr">
        <is>
          <t>PL85133234</t>
        </is>
      </c>
      <c r="E614" s="12" t="n">
        <v>46301</v>
      </c>
      <c r="F614" s="11" t="inlineStr">
        <is>
          <t>Address issue</t>
        </is>
      </c>
      <c r="G614" s="12" t="n">
        <v>46302</v>
      </c>
      <c r="H614" s="5">
        <f>IF(G614="","",Rules!$B$1-G614)</f>
        <v/>
      </c>
      <c r="I614" s="5">
        <f>IF(F614="Address issue","address issue",IF(OR(F614="Delivered",F614="Returned to sender",G614=""),"",IF(AND(Rules!$B$3&lt;&gt;"",F614="Held at customs",H614&gt;=Rules!$B$3),"customs &gt;= "&amp;Rules!$B$3&amp;" days",IF(H614&gt;=Rules!$B$2,"idle &gt;= "&amp;Rules!$B$2&amp;" days",""))))</f>
        <v/>
      </c>
      <c r="J614" s="5">
        <f>IF(I614="","",IF(F614="Address issue",0,COUNTIF($I$2:$I$1001,"address issue"))+COUNTIFS($I$2:$I$1001,"?*",$F$2:$F$1001,IF(F614="Address issue","Address issue","&lt;&gt;Address issue"),$H$2:$H$1001,"&gt;"&amp;H614)+1)</f>
        <v/>
      </c>
    </row>
    <row r="615">
      <c r="A615" s="11" t="n">
        <v>100614</v>
      </c>
      <c r="B615" s="11" t="inlineStr">
        <is>
          <t>Мексика</t>
        </is>
      </c>
      <c r="C615" s="11" t="inlineStr">
        <is>
          <t>AndesCargo</t>
        </is>
      </c>
      <c r="D615" s="11" t="inlineStr">
        <is>
          <t>AC96851703</t>
        </is>
      </c>
      <c r="E615" s="12" t="n">
        <v>46304</v>
      </c>
      <c r="F615" s="11" t="inlineStr">
        <is>
          <t>Label created</t>
        </is>
      </c>
      <c r="G615" s="12" t="n">
        <v>46304</v>
      </c>
      <c r="H615" s="5">
        <f>IF(G615="","",Rules!$B$1-G615)</f>
        <v/>
      </c>
      <c r="I615" s="5">
        <f>IF(F615="Address issue","address issue",IF(OR(F615="Delivered",F615="Returned to sender",G615=""),"",IF(AND(Rules!$B$3&lt;&gt;"",F615="Held at customs",H615&gt;=Rules!$B$3),"customs &gt;= "&amp;Rules!$B$3&amp;" days",IF(H615&gt;=Rules!$B$2,"idle &gt;= "&amp;Rules!$B$2&amp;" days",""))))</f>
        <v/>
      </c>
      <c r="J615" s="5">
        <f>IF(I615="","",IF(F615="Address issue",0,COUNTIF($I$2:$I$1001,"address issue"))+COUNTIFS($I$2:$I$1001,"?*",$F$2:$F$1001,IF(F615="Address issue","Address issue","&lt;&gt;Address issue"),$H$2:$H$1001,"&gt;"&amp;H615)+1)</f>
        <v/>
      </c>
    </row>
    <row r="616">
      <c r="A616" s="11" t="n">
        <v>100615</v>
      </c>
      <c r="B616" s="11" t="inlineStr">
        <is>
          <t>Мексика</t>
        </is>
      </c>
      <c r="C616" s="11" t="inlineStr">
        <is>
          <t>AndesCargo</t>
        </is>
      </c>
      <c r="D616" s="11" t="inlineStr">
        <is>
          <t>AC68878041</t>
        </is>
      </c>
      <c r="E616" s="12" t="n">
        <v>46278</v>
      </c>
      <c r="F616" s="11" t="inlineStr">
        <is>
          <t>Delivered</t>
        </is>
      </c>
      <c r="G616" s="12" t="n">
        <v>46283</v>
      </c>
      <c r="H616" s="5">
        <f>IF(G616="","",Rules!$B$1-G616)</f>
        <v/>
      </c>
      <c r="I616" s="5">
        <f>IF(F616="Address issue","address issue",IF(OR(F616="Delivered",F616="Returned to sender",G616=""),"",IF(AND(Rules!$B$3&lt;&gt;"",F616="Held at customs",H616&gt;=Rules!$B$3),"customs &gt;= "&amp;Rules!$B$3&amp;" days",IF(H616&gt;=Rules!$B$2,"idle &gt;= "&amp;Rules!$B$2&amp;" days",""))))</f>
        <v/>
      </c>
      <c r="J616" s="5">
        <f>IF(I616="","",IF(F616="Address issue",0,COUNTIF($I$2:$I$1001,"address issue"))+COUNTIFS($I$2:$I$1001,"?*",$F$2:$F$1001,IF(F616="Address issue","Address issue","&lt;&gt;Address issue"),$H$2:$H$1001,"&gt;"&amp;H616)+1)</f>
        <v/>
      </c>
    </row>
    <row r="617">
      <c r="A617" s="11" t="n">
        <v>100616</v>
      </c>
      <c r="B617" s="11" t="inlineStr">
        <is>
          <t>Мексика</t>
        </is>
      </c>
      <c r="C617" s="11" t="inlineStr">
        <is>
          <t>SwiftParcel</t>
        </is>
      </c>
      <c r="D617" s="11" t="inlineStr">
        <is>
          <t>SP5221612</t>
        </is>
      </c>
      <c r="E617" s="12" t="n">
        <v>46301</v>
      </c>
      <c r="F617" s="11" t="inlineStr">
        <is>
          <t>Delivered</t>
        </is>
      </c>
      <c r="G617" s="13" t="n">
        <v>46306</v>
      </c>
      <c r="H617" s="5">
        <f>IF(G617="","",Rules!$B$1-G617)</f>
        <v/>
      </c>
      <c r="I617" s="5">
        <f>IF(F617="Address issue","address issue",IF(OR(F617="Delivered",F617="Returned to sender",G617=""),"",IF(AND(Rules!$B$3&lt;&gt;"",F617="Held at customs",H617&gt;=Rules!$B$3),"customs &gt;= "&amp;Rules!$B$3&amp;" days",IF(H617&gt;=Rules!$B$2,"idle &gt;= "&amp;Rules!$B$2&amp;" days",""))))</f>
        <v/>
      </c>
      <c r="J617" s="5">
        <f>IF(I617="","",IF(F617="Address issue",0,COUNTIF($I$2:$I$1001,"address issue"))+COUNTIFS($I$2:$I$1001,"?*",$F$2:$F$1001,IF(F617="Address issue","Address issue","&lt;&gt;Address issue"),$H$2:$H$1001,"&gt;"&amp;H617)+1)</f>
        <v/>
      </c>
    </row>
    <row r="618">
      <c r="A618" s="11" t="n">
        <v>100617</v>
      </c>
      <c r="B618" s="11" t="inlineStr">
        <is>
          <t>Бразилія</t>
        </is>
      </c>
      <c r="C618" s="11" t="inlineStr">
        <is>
          <t>AndesCargo</t>
        </is>
      </c>
      <c r="D618" s="11" t="inlineStr">
        <is>
          <t>AC26567096</t>
        </is>
      </c>
      <c r="E618" s="12" t="n">
        <v>46297</v>
      </c>
      <c r="F618" s="11" t="inlineStr">
        <is>
          <t>Delivered</t>
        </is>
      </c>
      <c r="G618" s="13" t="n">
        <v>46308</v>
      </c>
      <c r="H618" s="5">
        <f>IF(G618="","",Rules!$B$1-G618)</f>
        <v/>
      </c>
      <c r="I618" s="5">
        <f>IF(F618="Address issue","address issue",IF(OR(F618="Delivered",F618="Returned to sender",G618=""),"",IF(AND(Rules!$B$3&lt;&gt;"",F618="Held at customs",H618&gt;=Rules!$B$3),"customs &gt;= "&amp;Rules!$B$3&amp;" days",IF(H618&gt;=Rules!$B$2,"idle &gt;= "&amp;Rules!$B$2&amp;" days",""))))</f>
        <v/>
      </c>
      <c r="J618" s="5">
        <f>IF(I618="","",IF(F618="Address issue",0,COUNTIF($I$2:$I$1001,"address issue"))+COUNTIFS($I$2:$I$1001,"?*",$F$2:$F$1001,IF(F618="Address issue","Address issue","&lt;&gt;Address issue"),$H$2:$H$1001,"&gt;"&amp;H618)+1)</f>
        <v/>
      </c>
    </row>
    <row r="619">
      <c r="A619" s="11" t="n">
        <v>100618</v>
      </c>
      <c r="B619" s="11" t="inlineStr">
        <is>
          <t>Канада</t>
        </is>
      </c>
      <c r="C619" s="11" t="inlineStr">
        <is>
          <t>PostLink</t>
        </is>
      </c>
      <c r="D619" s="11" t="inlineStr">
        <is>
          <t>PL59207542</t>
        </is>
      </c>
      <c r="E619" s="12" t="n">
        <v>46288</v>
      </c>
      <c r="F619" s="11" t="inlineStr">
        <is>
          <t>Held at customs</t>
        </is>
      </c>
      <c r="G619" s="12" t="n">
        <v>46296</v>
      </c>
      <c r="H619" s="5">
        <f>IF(G619="","",Rules!$B$1-G619)</f>
        <v/>
      </c>
      <c r="I619" s="5">
        <f>IF(F619="Address issue","address issue",IF(OR(F619="Delivered",F619="Returned to sender",G619=""),"",IF(AND(Rules!$B$3&lt;&gt;"",F619="Held at customs",H619&gt;=Rules!$B$3),"customs &gt;= "&amp;Rules!$B$3&amp;" days",IF(H619&gt;=Rules!$B$2,"idle &gt;= "&amp;Rules!$B$2&amp;" days",""))))</f>
        <v/>
      </c>
      <c r="J619" s="5">
        <f>IF(I619="","",IF(F619="Address issue",0,COUNTIF($I$2:$I$1001,"address issue"))+COUNTIFS($I$2:$I$1001,"?*",$F$2:$F$1001,IF(F619="Address issue","Address issue","&lt;&gt;Address issue"),$H$2:$H$1001,"&gt;"&amp;H619)+1)</f>
        <v/>
      </c>
    </row>
    <row r="620">
      <c r="A620" s="11" t="n">
        <v>100619</v>
      </c>
      <c r="B620" s="11" t="inlineStr">
        <is>
          <t>Бразилія</t>
        </is>
      </c>
      <c r="C620" s="11" t="inlineStr">
        <is>
          <t>SwiftParcel</t>
        </is>
      </c>
      <c r="D620" s="11" t="inlineStr">
        <is>
          <t>SP3832628</t>
        </is>
      </c>
      <c r="E620" s="12" t="n">
        <v>46292</v>
      </c>
      <c r="F620" s="11" t="inlineStr">
        <is>
          <t>In transit</t>
        </is>
      </c>
      <c r="G620" s="12" t="n">
        <v>46296</v>
      </c>
      <c r="H620" s="5">
        <f>IF(G620="","",Rules!$B$1-G620)</f>
        <v/>
      </c>
      <c r="I620" s="5">
        <f>IF(F620="Address issue","address issue",IF(OR(F620="Delivered",F620="Returned to sender",G620=""),"",IF(AND(Rules!$B$3&lt;&gt;"",F620="Held at customs",H620&gt;=Rules!$B$3),"customs &gt;= "&amp;Rules!$B$3&amp;" days",IF(H620&gt;=Rules!$B$2,"idle &gt;= "&amp;Rules!$B$2&amp;" days",""))))</f>
        <v/>
      </c>
      <c r="J620" s="5">
        <f>IF(I620="","",IF(F620="Address issue",0,COUNTIF($I$2:$I$1001,"address issue"))+COUNTIFS($I$2:$I$1001,"?*",$F$2:$F$1001,IF(F620="Address issue","Address issue","&lt;&gt;Address issue"),$H$2:$H$1001,"&gt;"&amp;H620)+1)</f>
        <v/>
      </c>
    </row>
    <row r="621">
      <c r="A621" s="11" t="n">
        <v>100620</v>
      </c>
      <c r="B621" s="11" t="inlineStr">
        <is>
          <t>Бразилія</t>
        </is>
      </c>
      <c r="C621" s="11" t="inlineStr">
        <is>
          <t>SwiftParcel</t>
        </is>
      </c>
      <c r="D621" s="11" t="inlineStr">
        <is>
          <t>SP9010135</t>
        </is>
      </c>
      <c r="E621" s="12" t="n">
        <v>46300</v>
      </c>
      <c r="F621" s="11" t="inlineStr">
        <is>
          <t>In transit</t>
        </is>
      </c>
      <c r="G621" s="13" t="n">
        <v>46305</v>
      </c>
      <c r="H621" s="5">
        <f>IF(G621="","",Rules!$B$1-G621)</f>
        <v/>
      </c>
      <c r="I621" s="5">
        <f>IF(F621="Address issue","address issue",IF(OR(F621="Delivered",F621="Returned to sender",G621=""),"",IF(AND(Rules!$B$3&lt;&gt;"",F621="Held at customs",H621&gt;=Rules!$B$3),"customs &gt;= "&amp;Rules!$B$3&amp;" days",IF(H621&gt;=Rules!$B$2,"idle &gt;= "&amp;Rules!$B$2&amp;" days",""))))</f>
        <v/>
      </c>
      <c r="J621" s="5">
        <f>IF(I621="","",IF(F621="Address issue",0,COUNTIF($I$2:$I$1001,"address issue"))+COUNTIFS($I$2:$I$1001,"?*",$F$2:$F$1001,IF(F621="Address issue","Address issue","&lt;&gt;Address issue"),$H$2:$H$1001,"&gt;"&amp;H621)+1)</f>
        <v/>
      </c>
    </row>
    <row r="622">
      <c r="A622" s="11" t="n">
        <v>100621</v>
      </c>
      <c r="B622" s="11" t="inlineStr">
        <is>
          <t>Мексика</t>
        </is>
      </c>
      <c r="C622" s="11" t="inlineStr">
        <is>
          <t>SwiftParcel</t>
        </is>
      </c>
      <c r="D622" s="11" t="inlineStr">
        <is>
          <t>SP4574316</t>
        </is>
      </c>
      <c r="E622" s="12" t="n">
        <v>46296</v>
      </c>
      <c r="F622" s="11" t="inlineStr">
        <is>
          <t>Held at customs</t>
        </is>
      </c>
      <c r="G622" s="12" t="n">
        <v>46300</v>
      </c>
      <c r="H622" s="5">
        <f>IF(G622="","",Rules!$B$1-G622)</f>
        <v/>
      </c>
      <c r="I622" s="5">
        <f>IF(F622="Address issue","address issue",IF(OR(F622="Delivered",F622="Returned to sender",G622=""),"",IF(AND(Rules!$B$3&lt;&gt;"",F622="Held at customs",H622&gt;=Rules!$B$3),"customs &gt;= "&amp;Rules!$B$3&amp;" days",IF(H622&gt;=Rules!$B$2,"idle &gt;= "&amp;Rules!$B$2&amp;" days",""))))</f>
        <v/>
      </c>
      <c r="J622" s="5">
        <f>IF(I622="","",IF(F622="Address issue",0,COUNTIF($I$2:$I$1001,"address issue"))+COUNTIFS($I$2:$I$1001,"?*",$F$2:$F$1001,IF(F622="Address issue","Address issue","&lt;&gt;Address issue"),$H$2:$H$1001,"&gt;"&amp;H622)+1)</f>
        <v/>
      </c>
    </row>
    <row r="623">
      <c r="A623" s="11" t="n">
        <v>100622</v>
      </c>
      <c r="B623" s="11" t="inlineStr">
        <is>
          <t>Канада</t>
        </is>
      </c>
      <c r="C623" s="11" t="inlineStr">
        <is>
          <t>PostLink</t>
        </is>
      </c>
      <c r="D623" s="11" t="inlineStr">
        <is>
          <t>PL14921719</t>
        </is>
      </c>
      <c r="E623" s="12" t="n">
        <v>46300</v>
      </c>
      <c r="F623" s="11" t="inlineStr">
        <is>
          <t>Address issue</t>
        </is>
      </c>
      <c r="G623" s="12" t="n">
        <v>46301</v>
      </c>
      <c r="H623" s="5">
        <f>IF(G623="","",Rules!$B$1-G623)</f>
        <v/>
      </c>
      <c r="I623" s="5">
        <f>IF(F623="Address issue","address issue",IF(OR(F623="Delivered",F623="Returned to sender",G623=""),"",IF(AND(Rules!$B$3&lt;&gt;"",F623="Held at customs",H623&gt;=Rules!$B$3),"customs &gt;= "&amp;Rules!$B$3&amp;" days",IF(H623&gt;=Rules!$B$2,"idle &gt;= "&amp;Rules!$B$2&amp;" days",""))))</f>
        <v/>
      </c>
      <c r="J623" s="5">
        <f>IF(I623="","",IF(F623="Address issue",0,COUNTIF($I$2:$I$1001,"address issue"))+COUNTIFS($I$2:$I$1001,"?*",$F$2:$F$1001,IF(F623="Address issue","Address issue","&lt;&gt;Address issue"),$H$2:$H$1001,"&gt;"&amp;H623)+1)</f>
        <v/>
      </c>
    </row>
    <row r="624">
      <c r="A624" s="11" t="n">
        <v>100623</v>
      </c>
      <c r="B624" s="11" t="inlineStr">
        <is>
          <t>Мексика</t>
        </is>
      </c>
      <c r="C624" s="11" t="inlineStr">
        <is>
          <t>AndesCargo</t>
        </is>
      </c>
      <c r="D624" s="11" t="inlineStr">
        <is>
          <t>AC71219160</t>
        </is>
      </c>
      <c r="E624" s="12" t="n">
        <v>46289</v>
      </c>
      <c r="F624" s="11" t="inlineStr">
        <is>
          <t>Delivered</t>
        </is>
      </c>
      <c r="G624" s="12" t="n">
        <v>46294</v>
      </c>
      <c r="H624" s="5">
        <f>IF(G624="","",Rules!$B$1-G624)</f>
        <v/>
      </c>
      <c r="I624" s="5">
        <f>IF(F624="Address issue","address issue",IF(OR(F624="Delivered",F624="Returned to sender",G624=""),"",IF(AND(Rules!$B$3&lt;&gt;"",F624="Held at customs",H624&gt;=Rules!$B$3),"customs &gt;= "&amp;Rules!$B$3&amp;" days",IF(H624&gt;=Rules!$B$2,"idle &gt;= "&amp;Rules!$B$2&amp;" days",""))))</f>
        <v/>
      </c>
      <c r="J624" s="5">
        <f>IF(I624="","",IF(F624="Address issue",0,COUNTIF($I$2:$I$1001,"address issue"))+COUNTIFS($I$2:$I$1001,"?*",$F$2:$F$1001,IF(F624="Address issue","Address issue","&lt;&gt;Address issue"),$H$2:$H$1001,"&gt;"&amp;H624)+1)</f>
        <v/>
      </c>
    </row>
    <row r="625">
      <c r="A625" s="11" t="n">
        <v>100624</v>
      </c>
      <c r="B625" s="11" t="inlineStr">
        <is>
          <t>Мексика</t>
        </is>
      </c>
      <c r="C625" s="11" t="inlineStr">
        <is>
          <t>AndesCargo</t>
        </is>
      </c>
      <c r="D625" s="11" t="inlineStr">
        <is>
          <t>AC15818700</t>
        </is>
      </c>
      <c r="E625" s="12" t="n">
        <v>46295</v>
      </c>
      <c r="F625" s="11" t="inlineStr">
        <is>
          <t>Delivered</t>
        </is>
      </c>
      <c r="G625" s="13" t="n">
        <v>46306</v>
      </c>
      <c r="H625" s="5">
        <f>IF(G625="","",Rules!$B$1-G625)</f>
        <v/>
      </c>
      <c r="I625" s="5">
        <f>IF(F625="Address issue","address issue",IF(OR(F625="Delivered",F625="Returned to sender",G625=""),"",IF(AND(Rules!$B$3&lt;&gt;"",F625="Held at customs",H625&gt;=Rules!$B$3),"customs &gt;= "&amp;Rules!$B$3&amp;" days",IF(H625&gt;=Rules!$B$2,"idle &gt;= "&amp;Rules!$B$2&amp;" days",""))))</f>
        <v/>
      </c>
      <c r="J625" s="5">
        <f>IF(I625="","",IF(F625="Address issue",0,COUNTIF($I$2:$I$1001,"address issue"))+COUNTIFS($I$2:$I$1001,"?*",$F$2:$F$1001,IF(F625="Address issue","Address issue","&lt;&gt;Address issue"),$H$2:$H$1001,"&gt;"&amp;H625)+1)</f>
        <v/>
      </c>
    </row>
    <row r="626">
      <c r="A626" s="11" t="n">
        <v>100625</v>
      </c>
      <c r="B626" s="11" t="inlineStr">
        <is>
          <t>Мексика</t>
        </is>
      </c>
      <c r="C626" s="11" t="inlineStr">
        <is>
          <t>SwiftParcel</t>
        </is>
      </c>
      <c r="D626" s="11" t="inlineStr">
        <is>
          <t>SP8583176</t>
        </is>
      </c>
      <c r="E626" s="12" t="n">
        <v>46287</v>
      </c>
      <c r="F626" s="11" t="inlineStr">
        <is>
          <t>In transit</t>
        </is>
      </c>
      <c r="G626" s="12" t="n">
        <v>46293</v>
      </c>
      <c r="H626" s="5">
        <f>IF(G626="","",Rules!$B$1-G626)</f>
        <v/>
      </c>
      <c r="I626" s="5">
        <f>IF(F626="Address issue","address issue",IF(OR(F626="Delivered",F626="Returned to sender",G626=""),"",IF(AND(Rules!$B$3&lt;&gt;"",F626="Held at customs",H626&gt;=Rules!$B$3),"customs &gt;= "&amp;Rules!$B$3&amp;" days",IF(H626&gt;=Rules!$B$2,"idle &gt;= "&amp;Rules!$B$2&amp;" days",""))))</f>
        <v/>
      </c>
      <c r="J626" s="5">
        <f>IF(I626="","",IF(F626="Address issue",0,COUNTIF($I$2:$I$1001,"address issue"))+COUNTIFS($I$2:$I$1001,"?*",$F$2:$F$1001,IF(F626="Address issue","Address issue","&lt;&gt;Address issue"),$H$2:$H$1001,"&gt;"&amp;H626)+1)</f>
        <v/>
      </c>
    </row>
    <row r="627">
      <c r="A627" s="11" t="n">
        <v>100626</v>
      </c>
      <c r="B627" s="11" t="inlineStr">
        <is>
          <t>Бразилія</t>
        </is>
      </c>
      <c r="C627" s="11" t="inlineStr">
        <is>
          <t>AndesCargo</t>
        </is>
      </c>
      <c r="D627" s="11" t="inlineStr">
        <is>
          <t>AC21533485</t>
        </is>
      </c>
      <c r="E627" s="12" t="n">
        <v>46288</v>
      </c>
      <c r="F627" s="11" t="inlineStr">
        <is>
          <t>Delivered</t>
        </is>
      </c>
      <c r="G627" s="12" t="n">
        <v>46298</v>
      </c>
      <c r="H627" s="5">
        <f>IF(G627="","",Rules!$B$1-G627)</f>
        <v/>
      </c>
      <c r="I627" s="5">
        <f>IF(F627="Address issue","address issue",IF(OR(F627="Delivered",F627="Returned to sender",G627=""),"",IF(AND(Rules!$B$3&lt;&gt;"",F627="Held at customs",H627&gt;=Rules!$B$3),"customs &gt;= "&amp;Rules!$B$3&amp;" days",IF(H627&gt;=Rules!$B$2,"idle &gt;= "&amp;Rules!$B$2&amp;" days",""))))</f>
        <v/>
      </c>
      <c r="J627" s="5">
        <f>IF(I627="","",IF(F627="Address issue",0,COUNTIF($I$2:$I$1001,"address issue"))+COUNTIFS($I$2:$I$1001,"?*",$F$2:$F$1001,IF(F627="Address issue","Address issue","&lt;&gt;Address issue"),$H$2:$H$1001,"&gt;"&amp;H627)+1)</f>
        <v/>
      </c>
    </row>
    <row r="628">
      <c r="A628" s="11" t="n">
        <v>100627</v>
      </c>
      <c r="B628" s="11" t="inlineStr">
        <is>
          <t>Бразилія</t>
        </is>
      </c>
      <c r="C628" s="11" t="inlineStr">
        <is>
          <t>AndesCargo</t>
        </is>
      </c>
      <c r="D628" s="11" t="inlineStr">
        <is>
          <t>AC88442159</t>
        </is>
      </c>
      <c r="E628" s="12" t="n">
        <v>46295</v>
      </c>
      <c r="F628" s="11" t="inlineStr">
        <is>
          <t>Delivered</t>
        </is>
      </c>
      <c r="G628" s="12" t="n">
        <v>46301</v>
      </c>
      <c r="H628" s="5">
        <f>IF(G628="","",Rules!$B$1-G628)</f>
        <v/>
      </c>
      <c r="I628" s="5">
        <f>IF(F628="Address issue","address issue",IF(OR(F628="Delivered",F628="Returned to sender",G628=""),"",IF(AND(Rules!$B$3&lt;&gt;"",F628="Held at customs",H628&gt;=Rules!$B$3),"customs &gt;= "&amp;Rules!$B$3&amp;" days",IF(H628&gt;=Rules!$B$2,"idle &gt;= "&amp;Rules!$B$2&amp;" days",""))))</f>
        <v/>
      </c>
      <c r="J628" s="5">
        <f>IF(I628="","",IF(F628="Address issue",0,COUNTIF($I$2:$I$1001,"address issue"))+COUNTIFS($I$2:$I$1001,"?*",$F$2:$F$1001,IF(F628="Address issue","Address issue","&lt;&gt;Address issue"),$H$2:$H$1001,"&gt;"&amp;H628)+1)</f>
        <v/>
      </c>
    </row>
    <row r="629">
      <c r="A629" s="11" t="n">
        <v>100628</v>
      </c>
      <c r="B629" s="11" t="inlineStr">
        <is>
          <t>Мексика</t>
        </is>
      </c>
      <c r="C629" s="11" t="inlineStr">
        <is>
          <t>AndesCargo</t>
        </is>
      </c>
      <c r="D629" s="11" t="inlineStr">
        <is>
          <t>AC64400110</t>
        </is>
      </c>
      <c r="E629" s="12" t="n">
        <v>46302</v>
      </c>
      <c r="F629" s="11" t="inlineStr">
        <is>
          <t>Out for delivery</t>
        </is>
      </c>
      <c r="G629" s="13" t="n">
        <v>46310</v>
      </c>
      <c r="H629" s="5">
        <f>IF(G629="","",Rules!$B$1-G629)</f>
        <v/>
      </c>
      <c r="I629" s="5">
        <f>IF(F629="Address issue","address issue",IF(OR(F629="Delivered",F629="Returned to sender",G629=""),"",IF(AND(Rules!$B$3&lt;&gt;"",F629="Held at customs",H629&gt;=Rules!$B$3),"customs &gt;= "&amp;Rules!$B$3&amp;" days",IF(H629&gt;=Rules!$B$2,"idle &gt;= "&amp;Rules!$B$2&amp;" days",""))))</f>
        <v/>
      </c>
      <c r="J629" s="5">
        <f>IF(I629="","",IF(F629="Address issue",0,COUNTIF($I$2:$I$1001,"address issue"))+COUNTIFS($I$2:$I$1001,"?*",$F$2:$F$1001,IF(F629="Address issue","Address issue","&lt;&gt;Address issue"),$H$2:$H$1001,"&gt;"&amp;H629)+1)</f>
        <v/>
      </c>
    </row>
    <row r="630">
      <c r="A630" s="11" t="n">
        <v>100629</v>
      </c>
      <c r="B630" s="11" t="inlineStr">
        <is>
          <t>Мексика</t>
        </is>
      </c>
      <c r="C630" s="11" t="inlineStr">
        <is>
          <t>AndesCargo</t>
        </is>
      </c>
      <c r="D630" s="11" t="inlineStr">
        <is>
          <t>AC54287848</t>
        </is>
      </c>
      <c r="E630" s="12" t="n">
        <v>46281</v>
      </c>
      <c r="F630" s="11" t="inlineStr">
        <is>
          <t>Delivered</t>
        </is>
      </c>
      <c r="G630" s="12" t="n">
        <v>46287</v>
      </c>
      <c r="H630" s="5">
        <f>IF(G630="","",Rules!$B$1-G630)</f>
        <v/>
      </c>
      <c r="I630" s="5">
        <f>IF(F630="Address issue","address issue",IF(OR(F630="Delivered",F630="Returned to sender",G630=""),"",IF(AND(Rules!$B$3&lt;&gt;"",F630="Held at customs",H630&gt;=Rules!$B$3),"customs &gt;= "&amp;Rules!$B$3&amp;" days",IF(H630&gt;=Rules!$B$2,"idle &gt;= "&amp;Rules!$B$2&amp;" days",""))))</f>
        <v/>
      </c>
      <c r="J630" s="5">
        <f>IF(I630="","",IF(F630="Address issue",0,COUNTIF($I$2:$I$1001,"address issue"))+COUNTIFS($I$2:$I$1001,"?*",$F$2:$F$1001,IF(F630="Address issue","Address issue","&lt;&gt;Address issue"),$H$2:$H$1001,"&gt;"&amp;H630)+1)</f>
        <v/>
      </c>
    </row>
    <row r="631">
      <c r="A631" s="11" t="n">
        <v>100630</v>
      </c>
      <c r="B631" s="11" t="inlineStr">
        <is>
          <t>Бразилія</t>
        </is>
      </c>
      <c r="C631" s="11" t="inlineStr">
        <is>
          <t>AndesCargo</t>
        </is>
      </c>
      <c r="D631" s="11" t="inlineStr">
        <is>
          <t>AC12495374</t>
        </is>
      </c>
      <c r="E631" s="13" t="n">
        <v>46306</v>
      </c>
      <c r="F631" s="11" t="inlineStr">
        <is>
          <t>Delivered</t>
        </is>
      </c>
      <c r="G631" s="13" t="n">
        <v>46309</v>
      </c>
      <c r="H631" s="5">
        <f>IF(G631="","",Rules!$B$1-G631)</f>
        <v/>
      </c>
      <c r="I631" s="5">
        <f>IF(F631="Address issue","address issue",IF(OR(F631="Delivered",F631="Returned to sender",G631=""),"",IF(AND(Rules!$B$3&lt;&gt;"",F631="Held at customs",H631&gt;=Rules!$B$3),"customs &gt;= "&amp;Rules!$B$3&amp;" days",IF(H631&gt;=Rules!$B$2,"idle &gt;= "&amp;Rules!$B$2&amp;" days",""))))</f>
        <v/>
      </c>
      <c r="J631" s="5">
        <f>IF(I631="","",IF(F631="Address issue",0,COUNTIF($I$2:$I$1001,"address issue"))+COUNTIFS($I$2:$I$1001,"?*",$F$2:$F$1001,IF(F631="Address issue","Address issue","&lt;&gt;Address issue"),$H$2:$H$1001,"&gt;"&amp;H631)+1)</f>
        <v/>
      </c>
    </row>
    <row r="632">
      <c r="A632" s="11" t="n">
        <v>100631</v>
      </c>
      <c r="B632" s="11" t="inlineStr">
        <is>
          <t>Мексика</t>
        </is>
      </c>
      <c r="C632" s="11" t="inlineStr">
        <is>
          <t>SwiftParcel</t>
        </is>
      </c>
      <c r="D632" s="11" t="inlineStr">
        <is>
          <t>SP5461656</t>
        </is>
      </c>
      <c r="E632" s="12" t="n">
        <v>46304</v>
      </c>
      <c r="F632" s="11" t="inlineStr">
        <is>
          <t>In transit</t>
        </is>
      </c>
      <c r="G632" s="13" t="n">
        <v>46305</v>
      </c>
      <c r="H632" s="5">
        <f>IF(G632="","",Rules!$B$1-G632)</f>
        <v/>
      </c>
      <c r="I632" s="5">
        <f>IF(F632="Address issue","address issue",IF(OR(F632="Delivered",F632="Returned to sender",G632=""),"",IF(AND(Rules!$B$3&lt;&gt;"",F632="Held at customs",H632&gt;=Rules!$B$3),"customs &gt;= "&amp;Rules!$B$3&amp;" days",IF(H632&gt;=Rules!$B$2,"idle &gt;= "&amp;Rules!$B$2&amp;" days",""))))</f>
        <v/>
      </c>
      <c r="J632" s="5">
        <f>IF(I632="","",IF(F632="Address issue",0,COUNTIF($I$2:$I$1001,"address issue"))+COUNTIFS($I$2:$I$1001,"?*",$F$2:$F$1001,IF(F632="Address issue","Address issue","&lt;&gt;Address issue"),$H$2:$H$1001,"&gt;"&amp;H632)+1)</f>
        <v/>
      </c>
    </row>
    <row r="633">
      <c r="A633" s="11" t="n">
        <v>100632</v>
      </c>
      <c r="B633" s="11" t="inlineStr">
        <is>
          <t>Мексика</t>
        </is>
      </c>
      <c r="C633" s="11" t="inlineStr">
        <is>
          <t>SwiftParcel</t>
        </is>
      </c>
      <c r="D633" s="11" t="inlineStr">
        <is>
          <t>SP1199034</t>
        </is>
      </c>
      <c r="E633" s="13" t="n">
        <v>46306</v>
      </c>
      <c r="F633" s="11" t="inlineStr">
        <is>
          <t>In transit</t>
        </is>
      </c>
      <c r="G633" s="13" t="n">
        <v>46310</v>
      </c>
      <c r="H633" s="5">
        <f>IF(G633="","",Rules!$B$1-G633)</f>
        <v/>
      </c>
      <c r="I633" s="5">
        <f>IF(F633="Address issue","address issue",IF(OR(F633="Delivered",F633="Returned to sender",G633=""),"",IF(AND(Rules!$B$3&lt;&gt;"",F633="Held at customs",H633&gt;=Rules!$B$3),"customs &gt;= "&amp;Rules!$B$3&amp;" days",IF(H633&gt;=Rules!$B$2,"idle &gt;= "&amp;Rules!$B$2&amp;" days",""))))</f>
        <v/>
      </c>
      <c r="J633" s="5">
        <f>IF(I633="","",IF(F633="Address issue",0,COUNTIF($I$2:$I$1001,"address issue"))+COUNTIFS($I$2:$I$1001,"?*",$F$2:$F$1001,IF(F633="Address issue","Address issue","&lt;&gt;Address issue"),$H$2:$H$1001,"&gt;"&amp;H633)+1)</f>
        <v/>
      </c>
    </row>
    <row r="634">
      <c r="A634" s="11" t="n">
        <v>100633</v>
      </c>
      <c r="B634" s="11" t="inlineStr">
        <is>
          <t>Канада</t>
        </is>
      </c>
      <c r="C634" s="11" t="inlineStr">
        <is>
          <t>PostLink</t>
        </is>
      </c>
      <c r="D634" s="11" t="inlineStr">
        <is>
          <t>PL15239298</t>
        </is>
      </c>
      <c r="E634" s="12" t="n">
        <v>46296</v>
      </c>
      <c r="F634" s="11" t="inlineStr">
        <is>
          <t>In transit</t>
        </is>
      </c>
      <c r="G634" s="12" t="n">
        <v>46304</v>
      </c>
      <c r="H634" s="5">
        <f>IF(G634="","",Rules!$B$1-G634)</f>
        <v/>
      </c>
      <c r="I634" s="5">
        <f>IF(F634="Address issue","address issue",IF(OR(F634="Delivered",F634="Returned to sender",G634=""),"",IF(AND(Rules!$B$3&lt;&gt;"",F634="Held at customs",H634&gt;=Rules!$B$3),"customs &gt;= "&amp;Rules!$B$3&amp;" days",IF(H634&gt;=Rules!$B$2,"idle &gt;= "&amp;Rules!$B$2&amp;" days",""))))</f>
        <v/>
      </c>
      <c r="J634" s="5">
        <f>IF(I634="","",IF(F634="Address issue",0,COUNTIF($I$2:$I$1001,"address issue"))+COUNTIFS($I$2:$I$1001,"?*",$F$2:$F$1001,IF(F634="Address issue","Address issue","&lt;&gt;Address issue"),$H$2:$H$1001,"&gt;"&amp;H634)+1)</f>
        <v/>
      </c>
    </row>
    <row r="635">
      <c r="A635" s="11" t="n">
        <v>100634</v>
      </c>
      <c r="B635" s="11" t="inlineStr">
        <is>
          <t>Бразилія</t>
        </is>
      </c>
      <c r="C635" s="11" t="inlineStr">
        <is>
          <t>SwiftParcel</t>
        </is>
      </c>
      <c r="D635" s="11" t="inlineStr">
        <is>
          <t>SP4848942</t>
        </is>
      </c>
      <c r="E635" s="12" t="n">
        <v>46291</v>
      </c>
      <c r="F635" s="11" t="inlineStr">
        <is>
          <t>Delivered</t>
        </is>
      </c>
      <c r="G635" s="12" t="n">
        <v>46297</v>
      </c>
      <c r="H635" s="5">
        <f>IF(G635="","",Rules!$B$1-G635)</f>
        <v/>
      </c>
      <c r="I635" s="5">
        <f>IF(F635="Address issue","address issue",IF(OR(F635="Delivered",F635="Returned to sender",G635=""),"",IF(AND(Rules!$B$3&lt;&gt;"",F635="Held at customs",H635&gt;=Rules!$B$3),"customs &gt;= "&amp;Rules!$B$3&amp;" days",IF(H635&gt;=Rules!$B$2,"idle &gt;= "&amp;Rules!$B$2&amp;" days",""))))</f>
        <v/>
      </c>
      <c r="J635" s="5">
        <f>IF(I635="","",IF(F635="Address issue",0,COUNTIF($I$2:$I$1001,"address issue"))+COUNTIFS($I$2:$I$1001,"?*",$F$2:$F$1001,IF(F635="Address issue","Address issue","&lt;&gt;Address issue"),$H$2:$H$1001,"&gt;"&amp;H635)+1)</f>
        <v/>
      </c>
    </row>
    <row r="636">
      <c r="A636" s="11" t="n">
        <v>100635</v>
      </c>
      <c r="B636" s="11" t="inlineStr">
        <is>
          <t>Бразилія</t>
        </is>
      </c>
      <c r="C636" s="11" t="inlineStr">
        <is>
          <t>SwiftParcel</t>
        </is>
      </c>
      <c r="D636" s="11" t="inlineStr">
        <is>
          <t>SP1097774</t>
        </is>
      </c>
      <c r="E636" s="12" t="n">
        <v>46299</v>
      </c>
      <c r="F636" s="11" t="inlineStr">
        <is>
          <t>Delivered</t>
        </is>
      </c>
      <c r="G636" s="12" t="n">
        <v>46302</v>
      </c>
      <c r="H636" s="5">
        <f>IF(G636="","",Rules!$B$1-G636)</f>
        <v/>
      </c>
      <c r="I636" s="5">
        <f>IF(F636="Address issue","address issue",IF(OR(F636="Delivered",F636="Returned to sender",G636=""),"",IF(AND(Rules!$B$3&lt;&gt;"",F636="Held at customs",H636&gt;=Rules!$B$3),"customs &gt;= "&amp;Rules!$B$3&amp;" days",IF(H636&gt;=Rules!$B$2,"idle &gt;= "&amp;Rules!$B$2&amp;" days",""))))</f>
        <v/>
      </c>
      <c r="J636" s="5">
        <f>IF(I636="","",IF(F636="Address issue",0,COUNTIF($I$2:$I$1001,"address issue"))+COUNTIFS($I$2:$I$1001,"?*",$F$2:$F$1001,IF(F636="Address issue","Address issue","&lt;&gt;Address issue"),$H$2:$H$1001,"&gt;"&amp;H636)+1)</f>
        <v/>
      </c>
    </row>
    <row r="637">
      <c r="A637" s="11" t="n">
        <v>100636</v>
      </c>
      <c r="B637" s="11" t="inlineStr">
        <is>
          <t>Мексика</t>
        </is>
      </c>
      <c r="C637" s="11" t="inlineStr">
        <is>
          <t>SwiftParcel</t>
        </is>
      </c>
      <c r="D637" s="11" t="inlineStr">
        <is>
          <t>SP3502225</t>
        </is>
      </c>
      <c r="E637" s="12" t="n">
        <v>46295</v>
      </c>
      <c r="F637" s="11" t="inlineStr">
        <is>
          <t>Label created</t>
        </is>
      </c>
      <c r="G637" s="12" t="n">
        <v>46295</v>
      </c>
      <c r="H637" s="5">
        <f>IF(G637="","",Rules!$B$1-G637)</f>
        <v/>
      </c>
      <c r="I637" s="5">
        <f>IF(F637="Address issue","address issue",IF(OR(F637="Delivered",F637="Returned to sender",G637=""),"",IF(AND(Rules!$B$3&lt;&gt;"",F637="Held at customs",H637&gt;=Rules!$B$3),"customs &gt;= "&amp;Rules!$B$3&amp;" days",IF(H637&gt;=Rules!$B$2,"idle &gt;= "&amp;Rules!$B$2&amp;" days",""))))</f>
        <v/>
      </c>
      <c r="J637" s="5">
        <f>IF(I637="","",IF(F637="Address issue",0,COUNTIF($I$2:$I$1001,"address issue"))+COUNTIFS($I$2:$I$1001,"?*",$F$2:$F$1001,IF(F637="Address issue","Address issue","&lt;&gt;Address issue"),$H$2:$H$1001,"&gt;"&amp;H637)+1)</f>
        <v/>
      </c>
    </row>
    <row r="638">
      <c r="A638" s="11" t="n">
        <v>100637</v>
      </c>
      <c r="B638" s="11" t="inlineStr">
        <is>
          <t>Мексика</t>
        </is>
      </c>
      <c r="C638" s="11" t="inlineStr">
        <is>
          <t>SwiftParcel</t>
        </is>
      </c>
      <c r="D638" s="11" t="inlineStr">
        <is>
          <t>SP2301507</t>
        </is>
      </c>
      <c r="E638" s="12" t="n">
        <v>46299</v>
      </c>
      <c r="F638" s="11" t="inlineStr">
        <is>
          <t>Label created</t>
        </is>
      </c>
      <c r="G638" s="12" t="n">
        <v>46299</v>
      </c>
      <c r="H638" s="5">
        <f>IF(G638="","",Rules!$B$1-G638)</f>
        <v/>
      </c>
      <c r="I638" s="5">
        <f>IF(F638="Address issue","address issue",IF(OR(F638="Delivered",F638="Returned to sender",G638=""),"",IF(AND(Rules!$B$3&lt;&gt;"",F638="Held at customs",H638&gt;=Rules!$B$3),"customs &gt;= "&amp;Rules!$B$3&amp;" days",IF(H638&gt;=Rules!$B$2,"idle &gt;= "&amp;Rules!$B$2&amp;" days",""))))</f>
        <v/>
      </c>
      <c r="J638" s="5">
        <f>IF(I638="","",IF(F638="Address issue",0,COUNTIF($I$2:$I$1001,"address issue"))+COUNTIFS($I$2:$I$1001,"?*",$F$2:$F$1001,IF(F638="Address issue","Address issue","&lt;&gt;Address issue"),$H$2:$H$1001,"&gt;"&amp;H638)+1)</f>
        <v/>
      </c>
    </row>
    <row r="639">
      <c r="A639" s="11" t="n">
        <v>100638</v>
      </c>
      <c r="B639" s="11" t="inlineStr">
        <is>
          <t>Мексика</t>
        </is>
      </c>
      <c r="C639" s="11" t="inlineStr">
        <is>
          <t>SwiftParcel</t>
        </is>
      </c>
      <c r="D639" s="11" t="inlineStr">
        <is>
          <t>SP3227150</t>
        </is>
      </c>
      <c r="E639" s="12" t="n">
        <v>46304</v>
      </c>
      <c r="F639" s="11" t="inlineStr">
        <is>
          <t>Returned to sender</t>
        </is>
      </c>
      <c r="G639" s="13" t="n">
        <v>46307</v>
      </c>
      <c r="H639" s="5">
        <f>IF(G639="","",Rules!$B$1-G639)</f>
        <v/>
      </c>
      <c r="I639" s="5">
        <f>IF(F639="Address issue","address issue",IF(OR(F639="Delivered",F639="Returned to sender",G639=""),"",IF(AND(Rules!$B$3&lt;&gt;"",F639="Held at customs",H639&gt;=Rules!$B$3),"customs &gt;= "&amp;Rules!$B$3&amp;" days",IF(H639&gt;=Rules!$B$2,"idle &gt;= "&amp;Rules!$B$2&amp;" days",""))))</f>
        <v/>
      </c>
      <c r="J639" s="5">
        <f>IF(I639="","",IF(F639="Address issue",0,COUNTIF($I$2:$I$1001,"address issue"))+COUNTIFS($I$2:$I$1001,"?*",$F$2:$F$1001,IF(F639="Address issue","Address issue","&lt;&gt;Address issue"),$H$2:$H$1001,"&gt;"&amp;H639)+1)</f>
        <v/>
      </c>
    </row>
    <row r="640">
      <c r="A640" s="11" t="n">
        <v>100639</v>
      </c>
      <c r="B640" s="11" t="inlineStr">
        <is>
          <t>Мексика</t>
        </is>
      </c>
      <c r="C640" s="11" t="inlineStr">
        <is>
          <t>AndesCargo</t>
        </is>
      </c>
      <c r="D640" s="11" t="inlineStr">
        <is>
          <t>AC27379437</t>
        </is>
      </c>
      <c r="E640" s="12" t="n">
        <v>46304</v>
      </c>
      <c r="F640" s="11" t="inlineStr">
        <is>
          <t>In transit</t>
        </is>
      </c>
      <c r="G640" s="13" t="n">
        <v>46308</v>
      </c>
      <c r="H640" s="5">
        <f>IF(G640="","",Rules!$B$1-G640)</f>
        <v/>
      </c>
      <c r="I640" s="5">
        <f>IF(F640="Address issue","address issue",IF(OR(F640="Delivered",F640="Returned to sender",G640=""),"",IF(AND(Rules!$B$3&lt;&gt;"",F640="Held at customs",H640&gt;=Rules!$B$3),"customs &gt;= "&amp;Rules!$B$3&amp;" days",IF(H640&gt;=Rules!$B$2,"idle &gt;= "&amp;Rules!$B$2&amp;" days",""))))</f>
        <v/>
      </c>
      <c r="J640" s="5">
        <f>IF(I640="","",IF(F640="Address issue",0,COUNTIF($I$2:$I$1001,"address issue"))+COUNTIFS($I$2:$I$1001,"?*",$F$2:$F$1001,IF(F640="Address issue","Address issue","&lt;&gt;Address issue"),$H$2:$H$1001,"&gt;"&amp;H640)+1)</f>
        <v/>
      </c>
    </row>
    <row r="641">
      <c r="A641" s="11" t="n">
        <v>100640</v>
      </c>
      <c r="B641" s="11" t="inlineStr">
        <is>
          <t>Канада</t>
        </is>
      </c>
      <c r="C641" s="11" t="inlineStr">
        <is>
          <t>PostLink</t>
        </is>
      </c>
      <c r="D641" s="11" t="inlineStr">
        <is>
          <t>PL89985713</t>
        </is>
      </c>
      <c r="E641" s="13" t="n">
        <v>46308</v>
      </c>
      <c r="F641" s="11" t="inlineStr">
        <is>
          <t>Out for delivery</t>
        </is>
      </c>
      <c r="G641" s="13" t="n">
        <v>46309</v>
      </c>
      <c r="H641" s="5">
        <f>IF(G641="","",Rules!$B$1-G641)</f>
        <v/>
      </c>
      <c r="I641" s="5">
        <f>IF(F641="Address issue","address issue",IF(OR(F641="Delivered",F641="Returned to sender",G641=""),"",IF(AND(Rules!$B$3&lt;&gt;"",F641="Held at customs",H641&gt;=Rules!$B$3),"customs &gt;= "&amp;Rules!$B$3&amp;" days",IF(H641&gt;=Rules!$B$2,"idle &gt;= "&amp;Rules!$B$2&amp;" days",""))))</f>
        <v/>
      </c>
      <c r="J641" s="5">
        <f>IF(I641="","",IF(F641="Address issue",0,COUNTIF($I$2:$I$1001,"address issue"))+COUNTIFS($I$2:$I$1001,"?*",$F$2:$F$1001,IF(F641="Address issue","Address issue","&lt;&gt;Address issue"),$H$2:$H$1001,"&gt;"&amp;H641)+1)</f>
        <v/>
      </c>
    </row>
    <row r="642">
      <c r="A642" s="11" t="n">
        <v>100641</v>
      </c>
      <c r="B642" s="11" t="inlineStr">
        <is>
          <t>Мексика</t>
        </is>
      </c>
      <c r="C642" s="11" t="inlineStr">
        <is>
          <t>AndesCargo</t>
        </is>
      </c>
      <c r="D642" s="11" t="inlineStr">
        <is>
          <t>AC11163416</t>
        </is>
      </c>
      <c r="E642" s="13" t="n">
        <v>46305</v>
      </c>
      <c r="F642" s="11" t="inlineStr">
        <is>
          <t>Delivered</t>
        </is>
      </c>
      <c r="G642" s="13" t="n">
        <v>46310</v>
      </c>
      <c r="H642" s="5">
        <f>IF(G642="","",Rules!$B$1-G642)</f>
        <v/>
      </c>
      <c r="I642" s="5">
        <f>IF(F642="Address issue","address issue",IF(OR(F642="Delivered",F642="Returned to sender",G642=""),"",IF(AND(Rules!$B$3&lt;&gt;"",F642="Held at customs",H642&gt;=Rules!$B$3),"customs &gt;= "&amp;Rules!$B$3&amp;" days",IF(H642&gt;=Rules!$B$2,"idle &gt;= "&amp;Rules!$B$2&amp;" days",""))))</f>
        <v/>
      </c>
      <c r="J642" s="5">
        <f>IF(I642="","",IF(F642="Address issue",0,COUNTIF($I$2:$I$1001,"address issue"))+COUNTIFS($I$2:$I$1001,"?*",$F$2:$F$1001,IF(F642="Address issue","Address issue","&lt;&gt;Address issue"),$H$2:$H$1001,"&gt;"&amp;H642)+1)</f>
        <v/>
      </c>
    </row>
    <row r="643">
      <c r="A643" s="11" t="n">
        <v>100642</v>
      </c>
      <c r="B643" s="11" t="inlineStr">
        <is>
          <t>Мексика</t>
        </is>
      </c>
      <c r="C643" s="11" t="inlineStr">
        <is>
          <t>AndesCargo</t>
        </is>
      </c>
      <c r="D643" s="11" t="inlineStr">
        <is>
          <t>AC63366457</t>
        </is>
      </c>
      <c r="E643" s="12" t="n">
        <v>46279</v>
      </c>
      <c r="F643" s="11" t="inlineStr">
        <is>
          <t>Delivered</t>
        </is>
      </c>
      <c r="G643" s="12" t="n">
        <v>46288</v>
      </c>
      <c r="H643" s="5">
        <f>IF(G643="","",Rules!$B$1-G643)</f>
        <v/>
      </c>
      <c r="I643" s="5">
        <f>IF(F643="Address issue","address issue",IF(OR(F643="Delivered",F643="Returned to sender",G643=""),"",IF(AND(Rules!$B$3&lt;&gt;"",F643="Held at customs",H643&gt;=Rules!$B$3),"customs &gt;= "&amp;Rules!$B$3&amp;" days",IF(H643&gt;=Rules!$B$2,"idle &gt;= "&amp;Rules!$B$2&amp;" days",""))))</f>
        <v/>
      </c>
      <c r="J643" s="5">
        <f>IF(I643="","",IF(F643="Address issue",0,COUNTIF($I$2:$I$1001,"address issue"))+COUNTIFS($I$2:$I$1001,"?*",$F$2:$F$1001,IF(F643="Address issue","Address issue","&lt;&gt;Address issue"),$H$2:$H$1001,"&gt;"&amp;H643)+1)</f>
        <v/>
      </c>
    </row>
    <row r="644">
      <c r="A644" s="11" t="n">
        <v>100643</v>
      </c>
      <c r="B644" s="11" t="inlineStr">
        <is>
          <t>Мексика</t>
        </is>
      </c>
      <c r="C644" s="11" t="inlineStr">
        <is>
          <t>AndesCargo</t>
        </is>
      </c>
      <c r="D644" s="11" t="inlineStr">
        <is>
          <t>AC70119146</t>
        </is>
      </c>
      <c r="E644" s="12" t="n">
        <v>46289</v>
      </c>
      <c r="F644" s="11" t="inlineStr">
        <is>
          <t>Delivered</t>
        </is>
      </c>
      <c r="G644" s="12" t="n">
        <v>46297</v>
      </c>
      <c r="H644" s="5">
        <f>IF(G644="","",Rules!$B$1-G644)</f>
        <v/>
      </c>
      <c r="I644" s="5">
        <f>IF(F644="Address issue","address issue",IF(OR(F644="Delivered",F644="Returned to sender",G644=""),"",IF(AND(Rules!$B$3&lt;&gt;"",F644="Held at customs",H644&gt;=Rules!$B$3),"customs &gt;= "&amp;Rules!$B$3&amp;" days",IF(H644&gt;=Rules!$B$2,"idle &gt;= "&amp;Rules!$B$2&amp;" days",""))))</f>
        <v/>
      </c>
      <c r="J644" s="5">
        <f>IF(I644="","",IF(F644="Address issue",0,COUNTIF($I$2:$I$1001,"address issue"))+COUNTIFS($I$2:$I$1001,"?*",$F$2:$F$1001,IF(F644="Address issue","Address issue","&lt;&gt;Address issue"),$H$2:$H$1001,"&gt;"&amp;H644)+1)</f>
        <v/>
      </c>
    </row>
    <row r="645">
      <c r="A645" s="11" t="n">
        <v>100644</v>
      </c>
      <c r="B645" s="11" t="inlineStr">
        <is>
          <t>Канада</t>
        </is>
      </c>
      <c r="C645" s="11" t="inlineStr">
        <is>
          <t>PostLink</t>
        </is>
      </c>
      <c r="D645" s="11" t="inlineStr">
        <is>
          <t>PL51809567</t>
        </is>
      </c>
      <c r="E645" s="13" t="n">
        <v>46307</v>
      </c>
      <c r="F645" s="11" t="inlineStr">
        <is>
          <t>Out for delivery</t>
        </is>
      </c>
      <c r="G645" s="13" t="n">
        <v>46308</v>
      </c>
      <c r="H645" s="5">
        <f>IF(G645="","",Rules!$B$1-G645)</f>
        <v/>
      </c>
      <c r="I645" s="5">
        <f>IF(F645="Address issue","address issue",IF(OR(F645="Delivered",F645="Returned to sender",G645=""),"",IF(AND(Rules!$B$3&lt;&gt;"",F645="Held at customs",H645&gt;=Rules!$B$3),"customs &gt;= "&amp;Rules!$B$3&amp;" days",IF(H645&gt;=Rules!$B$2,"idle &gt;= "&amp;Rules!$B$2&amp;" days",""))))</f>
        <v/>
      </c>
      <c r="J645" s="5">
        <f>IF(I645="","",IF(F645="Address issue",0,COUNTIF($I$2:$I$1001,"address issue"))+COUNTIFS($I$2:$I$1001,"?*",$F$2:$F$1001,IF(F645="Address issue","Address issue","&lt;&gt;Address issue"),$H$2:$H$1001,"&gt;"&amp;H645)+1)</f>
        <v/>
      </c>
    </row>
    <row r="646">
      <c r="A646" s="11" t="n">
        <v>100645</v>
      </c>
      <c r="B646" s="11" t="inlineStr">
        <is>
          <t>Бразилія</t>
        </is>
      </c>
      <c r="C646" s="11" t="inlineStr">
        <is>
          <t>SwiftParcel</t>
        </is>
      </c>
      <c r="D646" s="11" t="inlineStr">
        <is>
          <t>SP1126418</t>
        </is>
      </c>
      <c r="E646" s="12" t="n">
        <v>46301</v>
      </c>
      <c r="F646" s="11" t="inlineStr">
        <is>
          <t>Held at customs</t>
        </is>
      </c>
      <c r="G646" s="12" t="n">
        <v>46302</v>
      </c>
      <c r="H646" s="5">
        <f>IF(G646="","",Rules!$B$1-G646)</f>
        <v/>
      </c>
      <c r="I646" s="5">
        <f>IF(F646="Address issue","address issue",IF(OR(F646="Delivered",F646="Returned to sender",G646=""),"",IF(AND(Rules!$B$3&lt;&gt;"",F646="Held at customs",H646&gt;=Rules!$B$3),"customs &gt;= "&amp;Rules!$B$3&amp;" days",IF(H646&gt;=Rules!$B$2,"idle &gt;= "&amp;Rules!$B$2&amp;" days",""))))</f>
        <v/>
      </c>
      <c r="J646" s="5">
        <f>IF(I646="","",IF(F646="Address issue",0,COUNTIF($I$2:$I$1001,"address issue"))+COUNTIFS($I$2:$I$1001,"?*",$F$2:$F$1001,IF(F646="Address issue","Address issue","&lt;&gt;Address issue"),$H$2:$H$1001,"&gt;"&amp;H646)+1)</f>
        <v/>
      </c>
    </row>
    <row r="647">
      <c r="A647" s="11" t="n">
        <v>100646</v>
      </c>
      <c r="B647" s="11" t="inlineStr">
        <is>
          <t>Канада</t>
        </is>
      </c>
      <c r="C647" s="11" t="inlineStr">
        <is>
          <t>PostLink</t>
        </is>
      </c>
      <c r="D647" s="11" t="inlineStr">
        <is>
          <t>PL95567896</t>
        </is>
      </c>
      <c r="E647" s="13" t="n">
        <v>46310</v>
      </c>
      <c r="F647" s="11" t="inlineStr">
        <is>
          <t>Label created</t>
        </is>
      </c>
      <c r="G647" s="13" t="n">
        <v>46310</v>
      </c>
      <c r="H647" s="5">
        <f>IF(G647="","",Rules!$B$1-G647)</f>
        <v/>
      </c>
      <c r="I647" s="5">
        <f>IF(F647="Address issue","address issue",IF(OR(F647="Delivered",F647="Returned to sender",G647=""),"",IF(AND(Rules!$B$3&lt;&gt;"",F647="Held at customs",H647&gt;=Rules!$B$3),"customs &gt;= "&amp;Rules!$B$3&amp;" days",IF(H647&gt;=Rules!$B$2,"idle &gt;= "&amp;Rules!$B$2&amp;" days",""))))</f>
        <v/>
      </c>
      <c r="J647" s="5">
        <f>IF(I647="","",IF(F647="Address issue",0,COUNTIF($I$2:$I$1001,"address issue"))+COUNTIFS($I$2:$I$1001,"?*",$F$2:$F$1001,IF(F647="Address issue","Address issue","&lt;&gt;Address issue"),$H$2:$H$1001,"&gt;"&amp;H647)+1)</f>
        <v/>
      </c>
    </row>
    <row r="648">
      <c r="A648" s="11" t="n">
        <v>100647</v>
      </c>
      <c r="B648" s="11" t="inlineStr">
        <is>
          <t>Канада</t>
        </is>
      </c>
      <c r="C648" s="11" t="inlineStr">
        <is>
          <t>PostLink</t>
        </is>
      </c>
      <c r="D648" s="11" t="inlineStr">
        <is>
          <t>PL39861942</t>
        </is>
      </c>
      <c r="E648" s="12" t="n">
        <v>46298</v>
      </c>
      <c r="F648" s="11" t="inlineStr">
        <is>
          <t>In transit</t>
        </is>
      </c>
      <c r="G648" s="13" t="n">
        <v>46305</v>
      </c>
      <c r="H648" s="5">
        <f>IF(G648="","",Rules!$B$1-G648)</f>
        <v/>
      </c>
      <c r="I648" s="5">
        <f>IF(F648="Address issue","address issue",IF(OR(F648="Delivered",F648="Returned to sender",G648=""),"",IF(AND(Rules!$B$3&lt;&gt;"",F648="Held at customs",H648&gt;=Rules!$B$3),"customs &gt;= "&amp;Rules!$B$3&amp;" days",IF(H648&gt;=Rules!$B$2,"idle &gt;= "&amp;Rules!$B$2&amp;" days",""))))</f>
        <v/>
      </c>
      <c r="J648" s="5">
        <f>IF(I648="","",IF(F648="Address issue",0,COUNTIF($I$2:$I$1001,"address issue"))+COUNTIFS($I$2:$I$1001,"?*",$F$2:$F$1001,IF(F648="Address issue","Address issue","&lt;&gt;Address issue"),$H$2:$H$1001,"&gt;"&amp;H648)+1)</f>
        <v/>
      </c>
    </row>
    <row r="649">
      <c r="A649" s="11" t="n">
        <v>100648</v>
      </c>
      <c r="B649" s="11" t="inlineStr">
        <is>
          <t>Мексика</t>
        </is>
      </c>
      <c r="C649" s="11" t="inlineStr">
        <is>
          <t>AndesCargo</t>
        </is>
      </c>
      <c r="D649" s="11" t="inlineStr">
        <is>
          <t>AC39285042</t>
        </is>
      </c>
      <c r="E649" s="12" t="n">
        <v>46302</v>
      </c>
      <c r="F649" s="11" t="inlineStr">
        <is>
          <t>Held at customs</t>
        </is>
      </c>
      <c r="G649" s="13" t="n">
        <v>46305</v>
      </c>
      <c r="H649" s="5">
        <f>IF(G649="","",Rules!$B$1-G649)</f>
        <v/>
      </c>
      <c r="I649" s="5">
        <f>IF(F649="Address issue","address issue",IF(OR(F649="Delivered",F649="Returned to sender",G649=""),"",IF(AND(Rules!$B$3&lt;&gt;"",F649="Held at customs",H649&gt;=Rules!$B$3),"customs &gt;= "&amp;Rules!$B$3&amp;" days",IF(H649&gt;=Rules!$B$2,"idle &gt;= "&amp;Rules!$B$2&amp;" days",""))))</f>
        <v/>
      </c>
      <c r="J649" s="5">
        <f>IF(I649="","",IF(F649="Address issue",0,COUNTIF($I$2:$I$1001,"address issue"))+COUNTIFS($I$2:$I$1001,"?*",$F$2:$F$1001,IF(F649="Address issue","Address issue","&lt;&gt;Address issue"),$H$2:$H$1001,"&gt;"&amp;H649)+1)</f>
        <v/>
      </c>
    </row>
    <row r="650">
      <c r="A650" s="11" t="n">
        <v>100649</v>
      </c>
      <c r="B650" s="11" t="inlineStr">
        <is>
          <t>Канада</t>
        </is>
      </c>
      <c r="C650" s="11" t="inlineStr">
        <is>
          <t>PostLink</t>
        </is>
      </c>
      <c r="D650" s="11" t="inlineStr">
        <is>
          <t>PL26374166</t>
        </is>
      </c>
      <c r="E650" s="13" t="n">
        <v>46306</v>
      </c>
      <c r="F650" s="11" t="inlineStr">
        <is>
          <t>Out for delivery</t>
        </is>
      </c>
      <c r="G650" s="13" t="n">
        <v>46308</v>
      </c>
      <c r="H650" s="5">
        <f>IF(G650="","",Rules!$B$1-G650)</f>
        <v/>
      </c>
      <c r="I650" s="5">
        <f>IF(F650="Address issue","address issue",IF(OR(F650="Delivered",F650="Returned to sender",G650=""),"",IF(AND(Rules!$B$3&lt;&gt;"",F650="Held at customs",H650&gt;=Rules!$B$3),"customs &gt;= "&amp;Rules!$B$3&amp;" days",IF(H650&gt;=Rules!$B$2,"idle &gt;= "&amp;Rules!$B$2&amp;" days",""))))</f>
        <v/>
      </c>
      <c r="J650" s="5">
        <f>IF(I650="","",IF(F650="Address issue",0,COUNTIF($I$2:$I$1001,"address issue"))+COUNTIFS($I$2:$I$1001,"?*",$F$2:$F$1001,IF(F650="Address issue","Address issue","&lt;&gt;Address issue"),$H$2:$H$1001,"&gt;"&amp;H650)+1)</f>
        <v/>
      </c>
    </row>
    <row r="651">
      <c r="A651" s="11" t="n">
        <v>100650</v>
      </c>
      <c r="B651" s="11" t="inlineStr">
        <is>
          <t>Канада</t>
        </is>
      </c>
      <c r="C651" s="11" t="inlineStr">
        <is>
          <t>PostLink</t>
        </is>
      </c>
      <c r="D651" s="11" t="inlineStr">
        <is>
          <t>PL21115889</t>
        </is>
      </c>
      <c r="E651" s="12" t="n">
        <v>46300</v>
      </c>
      <c r="F651" s="11" t="inlineStr">
        <is>
          <t>Out for delivery</t>
        </is>
      </c>
      <c r="G651" s="13" t="n">
        <v>46308</v>
      </c>
      <c r="H651" s="5">
        <f>IF(G651="","",Rules!$B$1-G651)</f>
        <v/>
      </c>
      <c r="I651" s="5">
        <f>IF(F651="Address issue","address issue",IF(OR(F651="Delivered",F651="Returned to sender",G651=""),"",IF(AND(Rules!$B$3&lt;&gt;"",F651="Held at customs",H651&gt;=Rules!$B$3),"customs &gt;= "&amp;Rules!$B$3&amp;" days",IF(H651&gt;=Rules!$B$2,"idle &gt;= "&amp;Rules!$B$2&amp;" days",""))))</f>
        <v/>
      </c>
      <c r="J651" s="5">
        <f>IF(I651="","",IF(F651="Address issue",0,COUNTIF($I$2:$I$1001,"address issue"))+COUNTIFS($I$2:$I$1001,"?*",$F$2:$F$1001,IF(F651="Address issue","Address issue","&lt;&gt;Address issue"),$H$2:$H$1001,"&gt;"&amp;H651)+1)</f>
        <v/>
      </c>
    </row>
    <row r="652">
      <c r="A652" s="11" t="n">
        <v>100651</v>
      </c>
      <c r="B652" s="11" t="inlineStr">
        <is>
          <t>Мексика</t>
        </is>
      </c>
      <c r="C652" s="11" t="inlineStr">
        <is>
          <t>AndesCargo</t>
        </is>
      </c>
      <c r="D652" s="11" t="inlineStr">
        <is>
          <t>AC34305749</t>
        </is>
      </c>
      <c r="E652" s="12" t="n">
        <v>46277</v>
      </c>
      <c r="F652" s="11" t="inlineStr">
        <is>
          <t>Delivered</t>
        </is>
      </c>
      <c r="G652" s="12" t="n">
        <v>46282</v>
      </c>
      <c r="H652" s="5">
        <f>IF(G652="","",Rules!$B$1-G652)</f>
        <v/>
      </c>
      <c r="I652" s="5">
        <f>IF(F652="Address issue","address issue",IF(OR(F652="Delivered",F652="Returned to sender",G652=""),"",IF(AND(Rules!$B$3&lt;&gt;"",F652="Held at customs",H652&gt;=Rules!$B$3),"customs &gt;= "&amp;Rules!$B$3&amp;" days",IF(H652&gt;=Rules!$B$2,"idle &gt;= "&amp;Rules!$B$2&amp;" days",""))))</f>
        <v/>
      </c>
      <c r="J652" s="5">
        <f>IF(I652="","",IF(F652="Address issue",0,COUNTIF($I$2:$I$1001,"address issue"))+COUNTIFS($I$2:$I$1001,"?*",$F$2:$F$1001,IF(F652="Address issue","Address issue","&lt;&gt;Address issue"),$H$2:$H$1001,"&gt;"&amp;H652)+1)</f>
        <v/>
      </c>
    </row>
    <row r="653">
      <c r="A653" s="11" t="n">
        <v>100652</v>
      </c>
      <c r="B653" s="11" t="inlineStr">
        <is>
          <t>Мексика</t>
        </is>
      </c>
      <c r="C653" s="11" t="inlineStr">
        <is>
          <t>AndesCargo</t>
        </is>
      </c>
      <c r="D653" s="11" t="inlineStr">
        <is>
          <t>AC91960546</t>
        </is>
      </c>
      <c r="E653" s="12" t="n">
        <v>46295</v>
      </c>
      <c r="F653" s="11" t="inlineStr">
        <is>
          <t>Delivered</t>
        </is>
      </c>
      <c r="G653" s="13" t="n">
        <v>46305</v>
      </c>
      <c r="H653" s="5">
        <f>IF(G653="","",Rules!$B$1-G653)</f>
        <v/>
      </c>
      <c r="I653" s="5">
        <f>IF(F653="Address issue","address issue",IF(OR(F653="Delivered",F653="Returned to sender",G653=""),"",IF(AND(Rules!$B$3&lt;&gt;"",F653="Held at customs",H653&gt;=Rules!$B$3),"customs &gt;= "&amp;Rules!$B$3&amp;" days",IF(H653&gt;=Rules!$B$2,"idle &gt;= "&amp;Rules!$B$2&amp;" days",""))))</f>
        <v/>
      </c>
      <c r="J653" s="5">
        <f>IF(I653="","",IF(F653="Address issue",0,COUNTIF($I$2:$I$1001,"address issue"))+COUNTIFS($I$2:$I$1001,"?*",$F$2:$F$1001,IF(F653="Address issue","Address issue","&lt;&gt;Address issue"),$H$2:$H$1001,"&gt;"&amp;H653)+1)</f>
        <v/>
      </c>
    </row>
    <row r="654">
      <c r="A654" s="11" t="n">
        <v>100653</v>
      </c>
      <c r="B654" s="11" t="inlineStr">
        <is>
          <t>Мексика</t>
        </is>
      </c>
      <c r="C654" s="11" t="inlineStr">
        <is>
          <t>AndesCargo</t>
        </is>
      </c>
      <c r="D654" s="11" t="inlineStr">
        <is>
          <t>AC19085271</t>
        </is>
      </c>
      <c r="E654" s="12" t="n">
        <v>46300</v>
      </c>
      <c r="F654" s="11" t="inlineStr">
        <is>
          <t>Delivered</t>
        </is>
      </c>
      <c r="G654" s="12" t="n">
        <v>46304</v>
      </c>
      <c r="H654" s="5">
        <f>IF(G654="","",Rules!$B$1-G654)</f>
        <v/>
      </c>
      <c r="I654" s="5">
        <f>IF(F654="Address issue","address issue",IF(OR(F654="Delivered",F654="Returned to sender",G654=""),"",IF(AND(Rules!$B$3&lt;&gt;"",F654="Held at customs",H654&gt;=Rules!$B$3),"customs &gt;= "&amp;Rules!$B$3&amp;" days",IF(H654&gt;=Rules!$B$2,"idle &gt;= "&amp;Rules!$B$2&amp;" days",""))))</f>
        <v/>
      </c>
      <c r="J654" s="5">
        <f>IF(I654="","",IF(F654="Address issue",0,COUNTIF($I$2:$I$1001,"address issue"))+COUNTIFS($I$2:$I$1001,"?*",$F$2:$F$1001,IF(F654="Address issue","Address issue","&lt;&gt;Address issue"),$H$2:$H$1001,"&gt;"&amp;H654)+1)</f>
        <v/>
      </c>
    </row>
    <row r="655">
      <c r="A655" s="11" t="n">
        <v>100654</v>
      </c>
      <c r="B655" s="11" t="inlineStr">
        <is>
          <t>Мексика</t>
        </is>
      </c>
      <c r="C655" s="11" t="inlineStr">
        <is>
          <t>AndesCargo</t>
        </is>
      </c>
      <c r="D655" s="11" t="inlineStr">
        <is>
          <t>AC88057560</t>
        </is>
      </c>
      <c r="E655" s="12" t="n">
        <v>46290</v>
      </c>
      <c r="F655" s="11" t="inlineStr">
        <is>
          <t>Delivered</t>
        </is>
      </c>
      <c r="G655" s="12" t="n">
        <v>46298</v>
      </c>
      <c r="H655" s="5">
        <f>IF(G655="","",Rules!$B$1-G655)</f>
        <v/>
      </c>
      <c r="I655" s="5">
        <f>IF(F655="Address issue","address issue",IF(OR(F655="Delivered",F655="Returned to sender",G655=""),"",IF(AND(Rules!$B$3&lt;&gt;"",F655="Held at customs",H655&gt;=Rules!$B$3),"customs &gt;= "&amp;Rules!$B$3&amp;" days",IF(H655&gt;=Rules!$B$2,"idle &gt;= "&amp;Rules!$B$2&amp;" days",""))))</f>
        <v/>
      </c>
      <c r="J655" s="5">
        <f>IF(I655="","",IF(F655="Address issue",0,COUNTIF($I$2:$I$1001,"address issue"))+COUNTIFS($I$2:$I$1001,"?*",$F$2:$F$1001,IF(F655="Address issue","Address issue","&lt;&gt;Address issue"),$H$2:$H$1001,"&gt;"&amp;H655)+1)</f>
        <v/>
      </c>
    </row>
    <row r="656">
      <c r="A656" s="11" t="n">
        <v>100655</v>
      </c>
      <c r="B656" s="11" t="inlineStr">
        <is>
          <t>Мексика</t>
        </is>
      </c>
      <c r="C656" s="11" t="inlineStr">
        <is>
          <t>AndesCargo</t>
        </is>
      </c>
      <c r="D656" s="11" t="inlineStr">
        <is>
          <t>AC35529403</t>
        </is>
      </c>
      <c r="E656" s="12" t="n">
        <v>46287</v>
      </c>
      <c r="F656" s="11" t="inlineStr">
        <is>
          <t>Delivered</t>
        </is>
      </c>
      <c r="G656" s="12" t="n">
        <v>46291</v>
      </c>
      <c r="H656" s="5">
        <f>IF(G656="","",Rules!$B$1-G656)</f>
        <v/>
      </c>
      <c r="I656" s="5">
        <f>IF(F656="Address issue","address issue",IF(OR(F656="Delivered",F656="Returned to sender",G656=""),"",IF(AND(Rules!$B$3&lt;&gt;"",F656="Held at customs",H656&gt;=Rules!$B$3),"customs &gt;= "&amp;Rules!$B$3&amp;" days",IF(H656&gt;=Rules!$B$2,"idle &gt;= "&amp;Rules!$B$2&amp;" days",""))))</f>
        <v/>
      </c>
      <c r="J656" s="5">
        <f>IF(I656="","",IF(F656="Address issue",0,COUNTIF($I$2:$I$1001,"address issue"))+COUNTIFS($I$2:$I$1001,"?*",$F$2:$F$1001,IF(F656="Address issue","Address issue","&lt;&gt;Address issue"),$H$2:$H$1001,"&gt;"&amp;H656)+1)</f>
        <v/>
      </c>
    </row>
    <row r="657">
      <c r="A657" s="11" t="n">
        <v>100656</v>
      </c>
      <c r="B657" s="11" t="inlineStr">
        <is>
          <t>Бразилія</t>
        </is>
      </c>
      <c r="C657" s="11" t="inlineStr">
        <is>
          <t>AndesCargo</t>
        </is>
      </c>
      <c r="D657" s="11" t="inlineStr">
        <is>
          <t>AC56518230</t>
        </is>
      </c>
      <c r="E657" s="12" t="n">
        <v>46277</v>
      </c>
      <c r="F657" s="11" t="inlineStr">
        <is>
          <t>Delivered</t>
        </is>
      </c>
      <c r="G657" s="12" t="n">
        <v>46287</v>
      </c>
      <c r="H657" s="5">
        <f>IF(G657="","",Rules!$B$1-G657)</f>
        <v/>
      </c>
      <c r="I657" s="5">
        <f>IF(F657="Address issue","address issue",IF(OR(F657="Delivered",F657="Returned to sender",G657=""),"",IF(AND(Rules!$B$3&lt;&gt;"",F657="Held at customs",H657&gt;=Rules!$B$3),"customs &gt;= "&amp;Rules!$B$3&amp;" days",IF(H657&gt;=Rules!$B$2,"idle &gt;= "&amp;Rules!$B$2&amp;" days",""))))</f>
        <v/>
      </c>
      <c r="J657" s="5">
        <f>IF(I657="","",IF(F657="Address issue",0,COUNTIF($I$2:$I$1001,"address issue"))+COUNTIFS($I$2:$I$1001,"?*",$F$2:$F$1001,IF(F657="Address issue","Address issue","&lt;&gt;Address issue"),$H$2:$H$1001,"&gt;"&amp;H657)+1)</f>
        <v/>
      </c>
    </row>
    <row r="658">
      <c r="A658" s="11" t="n">
        <v>100657</v>
      </c>
      <c r="B658" s="11" t="inlineStr">
        <is>
          <t>Мексика</t>
        </is>
      </c>
      <c r="C658" s="11" t="inlineStr">
        <is>
          <t>AndesCargo</t>
        </is>
      </c>
      <c r="D658" s="11" t="inlineStr">
        <is>
          <t>AC50820024</t>
        </is>
      </c>
      <c r="E658" s="12" t="n">
        <v>46304</v>
      </c>
      <c r="F658" s="11" t="inlineStr">
        <is>
          <t>Delivered</t>
        </is>
      </c>
      <c r="G658" s="13" t="n">
        <v>46310</v>
      </c>
      <c r="H658" s="5">
        <f>IF(G658="","",Rules!$B$1-G658)</f>
        <v/>
      </c>
      <c r="I658" s="5">
        <f>IF(F658="Address issue","address issue",IF(OR(F658="Delivered",F658="Returned to sender",G658=""),"",IF(AND(Rules!$B$3&lt;&gt;"",F658="Held at customs",H658&gt;=Rules!$B$3),"customs &gt;= "&amp;Rules!$B$3&amp;" days",IF(H658&gt;=Rules!$B$2,"idle &gt;= "&amp;Rules!$B$2&amp;" days",""))))</f>
        <v/>
      </c>
      <c r="J658" s="5">
        <f>IF(I658="","",IF(F658="Address issue",0,COUNTIF($I$2:$I$1001,"address issue"))+COUNTIFS($I$2:$I$1001,"?*",$F$2:$F$1001,IF(F658="Address issue","Address issue","&lt;&gt;Address issue"),$H$2:$H$1001,"&gt;"&amp;H658)+1)</f>
        <v/>
      </c>
    </row>
    <row r="659">
      <c r="A659" s="11" t="n">
        <v>100658</v>
      </c>
      <c r="B659" s="11" t="inlineStr">
        <is>
          <t>Бразилія</t>
        </is>
      </c>
      <c r="C659" s="11" t="inlineStr">
        <is>
          <t>SwiftParcel</t>
        </is>
      </c>
      <c r="D659" s="11" t="inlineStr">
        <is>
          <t>SP4213007</t>
        </is>
      </c>
      <c r="E659" s="13" t="n">
        <v>46306</v>
      </c>
      <c r="F659" s="11" t="inlineStr">
        <is>
          <t>Label created</t>
        </is>
      </c>
      <c r="G659" s="13" t="n">
        <v>46306</v>
      </c>
      <c r="H659" s="5">
        <f>IF(G659="","",Rules!$B$1-G659)</f>
        <v/>
      </c>
      <c r="I659" s="5">
        <f>IF(F659="Address issue","address issue",IF(OR(F659="Delivered",F659="Returned to sender",G659=""),"",IF(AND(Rules!$B$3&lt;&gt;"",F659="Held at customs",H659&gt;=Rules!$B$3),"customs &gt;= "&amp;Rules!$B$3&amp;" days",IF(H659&gt;=Rules!$B$2,"idle &gt;= "&amp;Rules!$B$2&amp;" days",""))))</f>
        <v/>
      </c>
      <c r="J659" s="5">
        <f>IF(I659="","",IF(F659="Address issue",0,COUNTIF($I$2:$I$1001,"address issue"))+COUNTIFS($I$2:$I$1001,"?*",$F$2:$F$1001,IF(F659="Address issue","Address issue","&lt;&gt;Address issue"),$H$2:$H$1001,"&gt;"&amp;H659)+1)</f>
        <v/>
      </c>
    </row>
    <row r="660">
      <c r="A660" s="11" t="n">
        <v>100659</v>
      </c>
      <c r="B660" s="11" t="inlineStr">
        <is>
          <t>Канада</t>
        </is>
      </c>
      <c r="C660" s="11" t="inlineStr">
        <is>
          <t>PostLink</t>
        </is>
      </c>
      <c r="D660" s="11" t="inlineStr">
        <is>
          <t>PL87854356</t>
        </is>
      </c>
      <c r="E660" s="12" t="n">
        <v>46304</v>
      </c>
      <c r="F660" s="11" t="inlineStr">
        <is>
          <t>Delivered</t>
        </is>
      </c>
      <c r="G660" s="13" t="n">
        <v>46309</v>
      </c>
      <c r="H660" s="5">
        <f>IF(G660="","",Rules!$B$1-G660)</f>
        <v/>
      </c>
      <c r="I660" s="5">
        <f>IF(F660="Address issue","address issue",IF(OR(F660="Delivered",F660="Returned to sender",G660=""),"",IF(AND(Rules!$B$3&lt;&gt;"",F660="Held at customs",H660&gt;=Rules!$B$3),"customs &gt;= "&amp;Rules!$B$3&amp;" days",IF(H660&gt;=Rules!$B$2,"idle &gt;= "&amp;Rules!$B$2&amp;" days",""))))</f>
        <v/>
      </c>
      <c r="J660" s="5">
        <f>IF(I660="","",IF(F660="Address issue",0,COUNTIF($I$2:$I$1001,"address issue"))+COUNTIFS($I$2:$I$1001,"?*",$F$2:$F$1001,IF(F660="Address issue","Address issue","&lt;&gt;Address issue"),$H$2:$H$1001,"&gt;"&amp;H660)+1)</f>
        <v/>
      </c>
    </row>
    <row r="661">
      <c r="A661" s="11" t="n">
        <v>100660</v>
      </c>
      <c r="B661" s="11" t="inlineStr">
        <is>
          <t>Бразилія</t>
        </is>
      </c>
      <c r="C661" s="11" t="inlineStr">
        <is>
          <t>SwiftParcel</t>
        </is>
      </c>
      <c r="D661" s="11" t="inlineStr">
        <is>
          <t>SP2872991</t>
        </is>
      </c>
      <c r="E661" s="12" t="n">
        <v>46304</v>
      </c>
      <c r="F661" s="11" t="inlineStr">
        <is>
          <t>Returned to sender</t>
        </is>
      </c>
      <c r="G661" s="13" t="n">
        <v>46309</v>
      </c>
      <c r="H661" s="5">
        <f>IF(G661="","",Rules!$B$1-G661)</f>
        <v/>
      </c>
      <c r="I661" s="5">
        <f>IF(F661="Address issue","address issue",IF(OR(F661="Delivered",F661="Returned to sender",G661=""),"",IF(AND(Rules!$B$3&lt;&gt;"",F661="Held at customs",H661&gt;=Rules!$B$3),"customs &gt;= "&amp;Rules!$B$3&amp;" days",IF(H661&gt;=Rules!$B$2,"idle &gt;= "&amp;Rules!$B$2&amp;" days",""))))</f>
        <v/>
      </c>
      <c r="J661" s="5">
        <f>IF(I661="","",IF(F661="Address issue",0,COUNTIF($I$2:$I$1001,"address issue"))+COUNTIFS($I$2:$I$1001,"?*",$F$2:$F$1001,IF(F661="Address issue","Address issue","&lt;&gt;Address issue"),$H$2:$H$1001,"&gt;"&amp;H661)+1)</f>
        <v/>
      </c>
    </row>
    <row r="662">
      <c r="A662" s="11" t="n">
        <v>100661</v>
      </c>
      <c r="B662" s="11" t="inlineStr">
        <is>
          <t>Канада</t>
        </is>
      </c>
      <c r="C662" s="11" t="inlineStr">
        <is>
          <t>PostLink</t>
        </is>
      </c>
      <c r="D662" s="11" t="inlineStr">
        <is>
          <t>PL72884234</t>
        </is>
      </c>
      <c r="E662" s="12" t="n">
        <v>46302</v>
      </c>
      <c r="F662" s="11" t="inlineStr">
        <is>
          <t>In transit</t>
        </is>
      </c>
      <c r="G662" s="13" t="n">
        <v>46306</v>
      </c>
      <c r="H662" s="5">
        <f>IF(G662="","",Rules!$B$1-G662)</f>
        <v/>
      </c>
      <c r="I662" s="5">
        <f>IF(F662="Address issue","address issue",IF(OR(F662="Delivered",F662="Returned to sender",G662=""),"",IF(AND(Rules!$B$3&lt;&gt;"",F662="Held at customs",H662&gt;=Rules!$B$3),"customs &gt;= "&amp;Rules!$B$3&amp;" days",IF(H662&gt;=Rules!$B$2,"idle &gt;= "&amp;Rules!$B$2&amp;" days",""))))</f>
        <v/>
      </c>
      <c r="J662" s="5">
        <f>IF(I662="","",IF(F662="Address issue",0,COUNTIF($I$2:$I$1001,"address issue"))+COUNTIFS($I$2:$I$1001,"?*",$F$2:$F$1001,IF(F662="Address issue","Address issue","&lt;&gt;Address issue"),$H$2:$H$1001,"&gt;"&amp;H662)+1)</f>
        <v/>
      </c>
    </row>
    <row r="663">
      <c r="A663" s="11" t="n">
        <v>100662</v>
      </c>
      <c r="B663" s="11" t="inlineStr">
        <is>
          <t>Бразилія</t>
        </is>
      </c>
      <c r="C663" s="11" t="inlineStr">
        <is>
          <t>SwiftParcel</t>
        </is>
      </c>
      <c r="D663" s="11" t="inlineStr">
        <is>
          <t>SP9439777</t>
        </is>
      </c>
      <c r="E663" s="12" t="n">
        <v>46277</v>
      </c>
      <c r="F663" s="11" t="inlineStr">
        <is>
          <t>Delivered</t>
        </is>
      </c>
      <c r="G663" s="12" t="n">
        <v>46285</v>
      </c>
      <c r="H663" s="5">
        <f>IF(G663="","",Rules!$B$1-G663)</f>
        <v/>
      </c>
      <c r="I663" s="5">
        <f>IF(F663="Address issue","address issue",IF(OR(F663="Delivered",F663="Returned to sender",G663=""),"",IF(AND(Rules!$B$3&lt;&gt;"",F663="Held at customs",H663&gt;=Rules!$B$3),"customs &gt;= "&amp;Rules!$B$3&amp;" days",IF(H663&gt;=Rules!$B$2,"idle &gt;= "&amp;Rules!$B$2&amp;" days",""))))</f>
        <v/>
      </c>
      <c r="J663" s="5">
        <f>IF(I663="","",IF(F663="Address issue",0,COUNTIF($I$2:$I$1001,"address issue"))+COUNTIFS($I$2:$I$1001,"?*",$F$2:$F$1001,IF(F663="Address issue","Address issue","&lt;&gt;Address issue"),$H$2:$H$1001,"&gt;"&amp;H663)+1)</f>
        <v/>
      </c>
    </row>
    <row r="664">
      <c r="A664" s="11" t="n">
        <v>100663</v>
      </c>
      <c r="B664" s="11" t="inlineStr">
        <is>
          <t>Канада</t>
        </is>
      </c>
      <c r="C664" s="11" t="inlineStr">
        <is>
          <t>PostLink</t>
        </is>
      </c>
      <c r="D664" s="11" t="inlineStr">
        <is>
          <t>PL68667766</t>
        </is>
      </c>
      <c r="E664" s="12" t="n">
        <v>46296</v>
      </c>
      <c r="F664" s="11" t="inlineStr">
        <is>
          <t>Delivered</t>
        </is>
      </c>
      <c r="G664" s="13" t="n">
        <v>46308</v>
      </c>
      <c r="H664" s="5">
        <f>IF(G664="","",Rules!$B$1-G664)</f>
        <v/>
      </c>
      <c r="I664" s="5">
        <f>IF(F664="Address issue","address issue",IF(OR(F664="Delivered",F664="Returned to sender",G664=""),"",IF(AND(Rules!$B$3&lt;&gt;"",F664="Held at customs",H664&gt;=Rules!$B$3),"customs &gt;= "&amp;Rules!$B$3&amp;" days",IF(H664&gt;=Rules!$B$2,"idle &gt;= "&amp;Rules!$B$2&amp;" days",""))))</f>
        <v/>
      </c>
      <c r="J664" s="5">
        <f>IF(I664="","",IF(F664="Address issue",0,COUNTIF($I$2:$I$1001,"address issue"))+COUNTIFS($I$2:$I$1001,"?*",$F$2:$F$1001,IF(F664="Address issue","Address issue","&lt;&gt;Address issue"),$H$2:$H$1001,"&gt;"&amp;H664)+1)</f>
        <v/>
      </c>
    </row>
    <row r="665">
      <c r="A665" s="11" t="n">
        <v>100664</v>
      </c>
      <c r="B665" s="11" t="inlineStr">
        <is>
          <t>Мексика</t>
        </is>
      </c>
      <c r="C665" s="11" t="inlineStr">
        <is>
          <t>AndesCargo</t>
        </is>
      </c>
      <c r="D665" s="11" t="inlineStr">
        <is>
          <t>AC67443561</t>
        </is>
      </c>
      <c r="E665" s="12" t="n">
        <v>46298</v>
      </c>
      <c r="F665" s="11" t="inlineStr">
        <is>
          <t>Returned to sender</t>
        </is>
      </c>
      <c r="G665" s="12" t="n">
        <v>46302</v>
      </c>
      <c r="H665" s="5">
        <f>IF(G665="","",Rules!$B$1-G665)</f>
        <v/>
      </c>
      <c r="I665" s="5">
        <f>IF(F665="Address issue","address issue",IF(OR(F665="Delivered",F665="Returned to sender",G665=""),"",IF(AND(Rules!$B$3&lt;&gt;"",F665="Held at customs",H665&gt;=Rules!$B$3),"customs &gt;= "&amp;Rules!$B$3&amp;" days",IF(H665&gt;=Rules!$B$2,"idle &gt;= "&amp;Rules!$B$2&amp;" days",""))))</f>
        <v/>
      </c>
      <c r="J665" s="5">
        <f>IF(I665="","",IF(F665="Address issue",0,COUNTIF($I$2:$I$1001,"address issue"))+COUNTIFS($I$2:$I$1001,"?*",$F$2:$F$1001,IF(F665="Address issue","Address issue","&lt;&gt;Address issue"),$H$2:$H$1001,"&gt;"&amp;H665)+1)</f>
        <v/>
      </c>
    </row>
    <row r="666">
      <c r="A666" s="11" t="n">
        <v>100665</v>
      </c>
      <c r="B666" s="11" t="inlineStr">
        <is>
          <t>Канада</t>
        </is>
      </c>
      <c r="C666" s="11" t="inlineStr">
        <is>
          <t>PostLink</t>
        </is>
      </c>
      <c r="D666" s="11" t="inlineStr">
        <is>
          <t>PL81415464</t>
        </is>
      </c>
      <c r="E666" s="12" t="n">
        <v>46274</v>
      </c>
      <c r="F666" s="11" t="inlineStr">
        <is>
          <t>Delivered</t>
        </is>
      </c>
      <c r="G666" s="12" t="n">
        <v>46282</v>
      </c>
      <c r="H666" s="5">
        <f>IF(G666="","",Rules!$B$1-G666)</f>
        <v/>
      </c>
      <c r="I666" s="5">
        <f>IF(F666="Address issue","address issue",IF(OR(F666="Delivered",F666="Returned to sender",G666=""),"",IF(AND(Rules!$B$3&lt;&gt;"",F666="Held at customs",H666&gt;=Rules!$B$3),"customs &gt;= "&amp;Rules!$B$3&amp;" days",IF(H666&gt;=Rules!$B$2,"idle &gt;= "&amp;Rules!$B$2&amp;" days",""))))</f>
        <v/>
      </c>
      <c r="J666" s="5">
        <f>IF(I666="","",IF(F666="Address issue",0,COUNTIF($I$2:$I$1001,"address issue"))+COUNTIFS($I$2:$I$1001,"?*",$F$2:$F$1001,IF(F666="Address issue","Address issue","&lt;&gt;Address issue"),$H$2:$H$1001,"&gt;"&amp;H666)+1)</f>
        <v/>
      </c>
    </row>
    <row r="667">
      <c r="A667" s="11" t="n">
        <v>100666</v>
      </c>
      <c r="B667" s="11" t="inlineStr">
        <is>
          <t>Мексика</t>
        </is>
      </c>
      <c r="C667" s="11" t="inlineStr">
        <is>
          <t>AndesCargo</t>
        </is>
      </c>
      <c r="D667" s="11" t="inlineStr">
        <is>
          <t>AC12490947</t>
        </is>
      </c>
      <c r="E667" s="12" t="n">
        <v>46298</v>
      </c>
      <c r="F667" s="11" t="inlineStr">
        <is>
          <t>Delivered</t>
        </is>
      </c>
      <c r="G667" s="12" t="n">
        <v>46304</v>
      </c>
      <c r="H667" s="5">
        <f>IF(G667="","",Rules!$B$1-G667)</f>
        <v/>
      </c>
      <c r="I667" s="5">
        <f>IF(F667="Address issue","address issue",IF(OR(F667="Delivered",F667="Returned to sender",G667=""),"",IF(AND(Rules!$B$3&lt;&gt;"",F667="Held at customs",H667&gt;=Rules!$B$3),"customs &gt;= "&amp;Rules!$B$3&amp;" days",IF(H667&gt;=Rules!$B$2,"idle &gt;= "&amp;Rules!$B$2&amp;" days",""))))</f>
        <v/>
      </c>
      <c r="J667" s="5">
        <f>IF(I667="","",IF(F667="Address issue",0,COUNTIF($I$2:$I$1001,"address issue"))+COUNTIFS($I$2:$I$1001,"?*",$F$2:$F$1001,IF(F667="Address issue","Address issue","&lt;&gt;Address issue"),$H$2:$H$1001,"&gt;"&amp;H667)+1)</f>
        <v/>
      </c>
    </row>
    <row r="668">
      <c r="A668" s="11" t="n">
        <v>100667</v>
      </c>
      <c r="B668" s="11" t="inlineStr">
        <is>
          <t>Мексика</t>
        </is>
      </c>
      <c r="C668" s="11" t="inlineStr">
        <is>
          <t>AndesCargo</t>
        </is>
      </c>
      <c r="D668" s="11" t="inlineStr">
        <is>
          <t>AC97196427</t>
        </is>
      </c>
      <c r="E668" s="12" t="n">
        <v>46283</v>
      </c>
      <c r="F668" s="11" t="inlineStr">
        <is>
          <t>Delivered</t>
        </is>
      </c>
      <c r="G668" s="12" t="n">
        <v>46294</v>
      </c>
      <c r="H668" s="5">
        <f>IF(G668="","",Rules!$B$1-G668)</f>
        <v/>
      </c>
      <c r="I668" s="5">
        <f>IF(F668="Address issue","address issue",IF(OR(F668="Delivered",F668="Returned to sender",G668=""),"",IF(AND(Rules!$B$3&lt;&gt;"",F668="Held at customs",H668&gt;=Rules!$B$3),"customs &gt;= "&amp;Rules!$B$3&amp;" days",IF(H668&gt;=Rules!$B$2,"idle &gt;= "&amp;Rules!$B$2&amp;" days",""))))</f>
        <v/>
      </c>
      <c r="J668" s="5">
        <f>IF(I668="","",IF(F668="Address issue",0,COUNTIF($I$2:$I$1001,"address issue"))+COUNTIFS($I$2:$I$1001,"?*",$F$2:$F$1001,IF(F668="Address issue","Address issue","&lt;&gt;Address issue"),$H$2:$H$1001,"&gt;"&amp;H668)+1)</f>
        <v/>
      </c>
    </row>
    <row r="669">
      <c r="A669" s="11" t="n">
        <v>100668</v>
      </c>
      <c r="B669" s="11" t="inlineStr">
        <is>
          <t>Мексика</t>
        </is>
      </c>
      <c r="C669" s="11" t="inlineStr">
        <is>
          <t>AndesCargo</t>
        </is>
      </c>
      <c r="D669" s="11" t="inlineStr">
        <is>
          <t>AC10105655</t>
        </is>
      </c>
      <c r="E669" s="12" t="n">
        <v>46279</v>
      </c>
      <c r="F669" s="11" t="inlineStr">
        <is>
          <t>Delivered</t>
        </is>
      </c>
      <c r="G669" s="12" t="n">
        <v>46285</v>
      </c>
      <c r="H669" s="5">
        <f>IF(G669="","",Rules!$B$1-G669)</f>
        <v/>
      </c>
      <c r="I669" s="5">
        <f>IF(F669="Address issue","address issue",IF(OR(F669="Delivered",F669="Returned to sender",G669=""),"",IF(AND(Rules!$B$3&lt;&gt;"",F669="Held at customs",H669&gt;=Rules!$B$3),"customs &gt;= "&amp;Rules!$B$3&amp;" days",IF(H669&gt;=Rules!$B$2,"idle &gt;= "&amp;Rules!$B$2&amp;" days",""))))</f>
        <v/>
      </c>
      <c r="J669" s="5">
        <f>IF(I669="","",IF(F669="Address issue",0,COUNTIF($I$2:$I$1001,"address issue"))+COUNTIFS($I$2:$I$1001,"?*",$F$2:$F$1001,IF(F669="Address issue","Address issue","&lt;&gt;Address issue"),$H$2:$H$1001,"&gt;"&amp;H669)+1)</f>
        <v/>
      </c>
    </row>
    <row r="670">
      <c r="A670" s="11" t="n">
        <v>100669</v>
      </c>
      <c r="B670" s="11" t="inlineStr">
        <is>
          <t>Мексика</t>
        </is>
      </c>
      <c r="C670" s="11" t="inlineStr">
        <is>
          <t>AndesCargo</t>
        </is>
      </c>
      <c r="D670" s="11" t="inlineStr">
        <is>
          <t>AC97997940</t>
        </is>
      </c>
      <c r="E670" s="12" t="n">
        <v>46277</v>
      </c>
      <c r="F670" s="11" t="inlineStr">
        <is>
          <t>Delivered</t>
        </is>
      </c>
      <c r="G670" s="12" t="n">
        <v>46280</v>
      </c>
      <c r="H670" s="5">
        <f>IF(G670="","",Rules!$B$1-G670)</f>
        <v/>
      </c>
      <c r="I670" s="5">
        <f>IF(F670="Address issue","address issue",IF(OR(F670="Delivered",F670="Returned to sender",G670=""),"",IF(AND(Rules!$B$3&lt;&gt;"",F670="Held at customs",H670&gt;=Rules!$B$3),"customs &gt;= "&amp;Rules!$B$3&amp;" days",IF(H670&gt;=Rules!$B$2,"idle &gt;= "&amp;Rules!$B$2&amp;" days",""))))</f>
        <v/>
      </c>
      <c r="J670" s="5">
        <f>IF(I670="","",IF(F670="Address issue",0,COUNTIF($I$2:$I$1001,"address issue"))+COUNTIFS($I$2:$I$1001,"?*",$F$2:$F$1001,IF(F670="Address issue","Address issue","&lt;&gt;Address issue"),$H$2:$H$1001,"&gt;"&amp;H670)+1)</f>
        <v/>
      </c>
    </row>
    <row r="671">
      <c r="A671" s="11" t="n">
        <v>100670</v>
      </c>
      <c r="B671" s="11" t="inlineStr">
        <is>
          <t>Бразилія</t>
        </is>
      </c>
      <c r="C671" s="11" t="inlineStr">
        <is>
          <t>SwiftParcel</t>
        </is>
      </c>
      <c r="D671" s="11" t="inlineStr">
        <is>
          <t>SP4852006</t>
        </is>
      </c>
      <c r="E671" s="12" t="n">
        <v>46304</v>
      </c>
      <c r="F671" s="11" t="inlineStr">
        <is>
          <t>In transit</t>
        </is>
      </c>
      <c r="G671" s="13" t="n">
        <v>46309</v>
      </c>
      <c r="H671" s="5">
        <f>IF(G671="","",Rules!$B$1-G671)</f>
        <v/>
      </c>
      <c r="I671" s="5">
        <f>IF(F671="Address issue","address issue",IF(OR(F671="Delivered",F671="Returned to sender",G671=""),"",IF(AND(Rules!$B$3&lt;&gt;"",F671="Held at customs",H671&gt;=Rules!$B$3),"customs &gt;= "&amp;Rules!$B$3&amp;" days",IF(H671&gt;=Rules!$B$2,"idle &gt;= "&amp;Rules!$B$2&amp;" days",""))))</f>
        <v/>
      </c>
      <c r="J671" s="5">
        <f>IF(I671="","",IF(F671="Address issue",0,COUNTIF($I$2:$I$1001,"address issue"))+COUNTIFS($I$2:$I$1001,"?*",$F$2:$F$1001,IF(F671="Address issue","Address issue","&lt;&gt;Address issue"),$H$2:$H$1001,"&gt;"&amp;H671)+1)</f>
        <v/>
      </c>
    </row>
    <row r="672">
      <c r="A672" s="11" t="n">
        <v>100671</v>
      </c>
      <c r="B672" s="11" t="inlineStr">
        <is>
          <t>Мексика</t>
        </is>
      </c>
      <c r="C672" s="11" t="inlineStr">
        <is>
          <t>AndesCargo</t>
        </is>
      </c>
      <c r="D672" s="11" t="inlineStr">
        <is>
          <t>AC44338164</t>
        </is>
      </c>
      <c r="E672" s="13" t="n">
        <v>46306</v>
      </c>
      <c r="F672" s="11" t="inlineStr">
        <is>
          <t>Returned to sender</t>
        </is>
      </c>
      <c r="G672" s="13" t="n">
        <v>46308</v>
      </c>
      <c r="H672" s="5">
        <f>IF(G672="","",Rules!$B$1-G672)</f>
        <v/>
      </c>
      <c r="I672" s="5">
        <f>IF(F672="Address issue","address issue",IF(OR(F672="Delivered",F672="Returned to sender",G672=""),"",IF(AND(Rules!$B$3&lt;&gt;"",F672="Held at customs",H672&gt;=Rules!$B$3),"customs &gt;= "&amp;Rules!$B$3&amp;" days",IF(H672&gt;=Rules!$B$2,"idle &gt;= "&amp;Rules!$B$2&amp;" days",""))))</f>
        <v/>
      </c>
      <c r="J672" s="5">
        <f>IF(I672="","",IF(F672="Address issue",0,COUNTIF($I$2:$I$1001,"address issue"))+COUNTIFS($I$2:$I$1001,"?*",$F$2:$F$1001,IF(F672="Address issue","Address issue","&lt;&gt;Address issue"),$H$2:$H$1001,"&gt;"&amp;H672)+1)</f>
        <v/>
      </c>
    </row>
    <row r="673">
      <c r="A673" s="11" t="n">
        <v>100672</v>
      </c>
      <c r="B673" s="11" t="inlineStr">
        <is>
          <t>Канада</t>
        </is>
      </c>
      <c r="C673" s="11" t="inlineStr">
        <is>
          <t>PostLink</t>
        </is>
      </c>
      <c r="D673" s="11" t="inlineStr">
        <is>
          <t>PL83618703</t>
        </is>
      </c>
      <c r="E673" s="12" t="n">
        <v>46288</v>
      </c>
      <c r="F673" s="11" t="inlineStr">
        <is>
          <t>Delivered</t>
        </is>
      </c>
      <c r="G673" s="12" t="n">
        <v>46291</v>
      </c>
      <c r="H673" s="5">
        <f>IF(G673="","",Rules!$B$1-G673)</f>
        <v/>
      </c>
      <c r="I673" s="5">
        <f>IF(F673="Address issue","address issue",IF(OR(F673="Delivered",F673="Returned to sender",G673=""),"",IF(AND(Rules!$B$3&lt;&gt;"",F673="Held at customs",H673&gt;=Rules!$B$3),"customs &gt;= "&amp;Rules!$B$3&amp;" days",IF(H673&gt;=Rules!$B$2,"idle &gt;= "&amp;Rules!$B$2&amp;" days",""))))</f>
        <v/>
      </c>
      <c r="J673" s="5">
        <f>IF(I673="","",IF(F673="Address issue",0,COUNTIF($I$2:$I$1001,"address issue"))+COUNTIFS($I$2:$I$1001,"?*",$F$2:$F$1001,IF(F673="Address issue","Address issue","&lt;&gt;Address issue"),$H$2:$H$1001,"&gt;"&amp;H673)+1)</f>
        <v/>
      </c>
    </row>
    <row r="674">
      <c r="A674" s="11" t="n">
        <v>100673</v>
      </c>
      <c r="B674" s="11" t="inlineStr">
        <is>
          <t>Мексика</t>
        </is>
      </c>
      <c r="C674" s="11" t="inlineStr">
        <is>
          <t>AndesCargo</t>
        </is>
      </c>
      <c r="D674" s="11" t="inlineStr">
        <is>
          <t>AC51793956</t>
        </is>
      </c>
      <c r="E674" s="12" t="n">
        <v>46287</v>
      </c>
      <c r="F674" s="11" t="inlineStr">
        <is>
          <t>In transit</t>
        </is>
      </c>
      <c r="G674" s="12" t="n">
        <v>46293</v>
      </c>
      <c r="H674" s="5">
        <f>IF(G674="","",Rules!$B$1-G674)</f>
        <v/>
      </c>
      <c r="I674" s="5">
        <f>IF(F674="Address issue","address issue",IF(OR(F674="Delivered",F674="Returned to sender",G674=""),"",IF(AND(Rules!$B$3&lt;&gt;"",F674="Held at customs",H674&gt;=Rules!$B$3),"customs &gt;= "&amp;Rules!$B$3&amp;" days",IF(H674&gt;=Rules!$B$2,"idle &gt;= "&amp;Rules!$B$2&amp;" days",""))))</f>
        <v/>
      </c>
      <c r="J674" s="5">
        <f>IF(I674="","",IF(F674="Address issue",0,COUNTIF($I$2:$I$1001,"address issue"))+COUNTIFS($I$2:$I$1001,"?*",$F$2:$F$1001,IF(F674="Address issue","Address issue","&lt;&gt;Address issue"),$H$2:$H$1001,"&gt;"&amp;H674)+1)</f>
        <v/>
      </c>
    </row>
    <row r="675">
      <c r="A675" s="11" t="n">
        <v>100674</v>
      </c>
      <c r="B675" s="11" t="inlineStr">
        <is>
          <t>Мексика</t>
        </is>
      </c>
      <c r="C675" s="11" t="inlineStr">
        <is>
          <t>SwiftParcel</t>
        </is>
      </c>
      <c r="D675" s="11" t="inlineStr">
        <is>
          <t>SP7458316</t>
        </is>
      </c>
      <c r="E675" s="12" t="n">
        <v>46302</v>
      </c>
      <c r="F675" s="11" t="inlineStr">
        <is>
          <t>In transit</t>
        </is>
      </c>
      <c r="G675" s="13" t="n">
        <v>46307</v>
      </c>
      <c r="H675" s="5">
        <f>IF(G675="","",Rules!$B$1-G675)</f>
        <v/>
      </c>
      <c r="I675" s="5">
        <f>IF(F675="Address issue","address issue",IF(OR(F675="Delivered",F675="Returned to sender",G675=""),"",IF(AND(Rules!$B$3&lt;&gt;"",F675="Held at customs",H675&gt;=Rules!$B$3),"customs &gt;= "&amp;Rules!$B$3&amp;" days",IF(H675&gt;=Rules!$B$2,"idle &gt;= "&amp;Rules!$B$2&amp;" days",""))))</f>
        <v/>
      </c>
      <c r="J675" s="5">
        <f>IF(I675="","",IF(F675="Address issue",0,COUNTIF($I$2:$I$1001,"address issue"))+COUNTIFS($I$2:$I$1001,"?*",$F$2:$F$1001,IF(F675="Address issue","Address issue","&lt;&gt;Address issue"),$H$2:$H$1001,"&gt;"&amp;H675)+1)</f>
        <v/>
      </c>
    </row>
    <row r="676">
      <c r="A676" s="11" t="n">
        <v>100675</v>
      </c>
      <c r="B676" s="11" t="inlineStr">
        <is>
          <t>Мексика</t>
        </is>
      </c>
      <c r="C676" s="11" t="inlineStr">
        <is>
          <t>AndesCargo</t>
        </is>
      </c>
      <c r="D676" s="11" t="inlineStr">
        <is>
          <t>AC24193046</t>
        </is>
      </c>
      <c r="E676" s="12" t="n">
        <v>46304</v>
      </c>
      <c r="F676" s="11" t="inlineStr">
        <is>
          <t>In transit</t>
        </is>
      </c>
      <c r="G676" s="13" t="n">
        <v>46305</v>
      </c>
      <c r="H676" s="5">
        <f>IF(G676="","",Rules!$B$1-G676)</f>
        <v/>
      </c>
      <c r="I676" s="5">
        <f>IF(F676="Address issue","address issue",IF(OR(F676="Delivered",F676="Returned to sender",G676=""),"",IF(AND(Rules!$B$3&lt;&gt;"",F676="Held at customs",H676&gt;=Rules!$B$3),"customs &gt;= "&amp;Rules!$B$3&amp;" days",IF(H676&gt;=Rules!$B$2,"idle &gt;= "&amp;Rules!$B$2&amp;" days",""))))</f>
        <v/>
      </c>
      <c r="J676" s="5">
        <f>IF(I676="","",IF(F676="Address issue",0,COUNTIF($I$2:$I$1001,"address issue"))+COUNTIFS($I$2:$I$1001,"?*",$F$2:$F$1001,IF(F676="Address issue","Address issue","&lt;&gt;Address issue"),$H$2:$H$1001,"&gt;"&amp;H676)+1)</f>
        <v/>
      </c>
    </row>
    <row r="677">
      <c r="A677" s="11" t="n">
        <v>100676</v>
      </c>
      <c r="B677" s="11" t="inlineStr">
        <is>
          <t>Мексика</t>
        </is>
      </c>
      <c r="C677" s="11" t="inlineStr">
        <is>
          <t>AndesCargo</t>
        </is>
      </c>
      <c r="D677" s="11" t="inlineStr">
        <is>
          <t>AC42967694</t>
        </is>
      </c>
      <c r="E677" s="12" t="n">
        <v>46287</v>
      </c>
      <c r="F677" s="11" t="inlineStr">
        <is>
          <t>Delivered</t>
        </is>
      </c>
      <c r="G677" s="12" t="n">
        <v>46290</v>
      </c>
      <c r="H677" s="5">
        <f>IF(G677="","",Rules!$B$1-G677)</f>
        <v/>
      </c>
      <c r="I677" s="5">
        <f>IF(F677="Address issue","address issue",IF(OR(F677="Delivered",F677="Returned to sender",G677=""),"",IF(AND(Rules!$B$3&lt;&gt;"",F677="Held at customs",H677&gt;=Rules!$B$3),"customs &gt;= "&amp;Rules!$B$3&amp;" days",IF(H677&gt;=Rules!$B$2,"idle &gt;= "&amp;Rules!$B$2&amp;" days",""))))</f>
        <v/>
      </c>
      <c r="J677" s="5">
        <f>IF(I677="","",IF(F677="Address issue",0,COUNTIF($I$2:$I$1001,"address issue"))+COUNTIFS($I$2:$I$1001,"?*",$F$2:$F$1001,IF(F677="Address issue","Address issue","&lt;&gt;Address issue"),$H$2:$H$1001,"&gt;"&amp;H677)+1)</f>
        <v/>
      </c>
    </row>
    <row r="678">
      <c r="A678" s="11" t="n">
        <v>100677</v>
      </c>
      <c r="B678" s="11" t="inlineStr">
        <is>
          <t>Бразилія</t>
        </is>
      </c>
      <c r="C678" s="11" t="inlineStr">
        <is>
          <t>SwiftParcel</t>
        </is>
      </c>
      <c r="D678" s="11" t="inlineStr">
        <is>
          <t>SP4604475</t>
        </is>
      </c>
      <c r="E678" s="12" t="n">
        <v>46296</v>
      </c>
      <c r="F678" s="11" t="inlineStr">
        <is>
          <t>Delivered</t>
        </is>
      </c>
      <c r="G678" s="12" t="n">
        <v>46304</v>
      </c>
      <c r="H678" s="5">
        <f>IF(G678="","",Rules!$B$1-G678)</f>
        <v/>
      </c>
      <c r="I678" s="5">
        <f>IF(F678="Address issue","address issue",IF(OR(F678="Delivered",F678="Returned to sender",G678=""),"",IF(AND(Rules!$B$3&lt;&gt;"",F678="Held at customs",H678&gt;=Rules!$B$3),"customs &gt;= "&amp;Rules!$B$3&amp;" days",IF(H678&gt;=Rules!$B$2,"idle &gt;= "&amp;Rules!$B$2&amp;" days",""))))</f>
        <v/>
      </c>
      <c r="J678" s="5">
        <f>IF(I678="","",IF(F678="Address issue",0,COUNTIF($I$2:$I$1001,"address issue"))+COUNTIFS($I$2:$I$1001,"?*",$F$2:$F$1001,IF(F678="Address issue","Address issue","&lt;&gt;Address issue"),$H$2:$H$1001,"&gt;"&amp;H678)+1)</f>
        <v/>
      </c>
    </row>
    <row r="679">
      <c r="A679" s="11" t="n">
        <v>100678</v>
      </c>
      <c r="B679" s="11" t="inlineStr">
        <is>
          <t>Бразилія</t>
        </is>
      </c>
      <c r="C679" s="11" t="inlineStr">
        <is>
          <t>AndesCargo</t>
        </is>
      </c>
      <c r="D679" s="11" t="inlineStr">
        <is>
          <t>AC84932876</t>
        </is>
      </c>
      <c r="E679" s="12" t="n">
        <v>46286</v>
      </c>
      <c r="F679" s="11" t="inlineStr">
        <is>
          <t>Delivered</t>
        </is>
      </c>
      <c r="G679" s="12" t="n">
        <v>46296</v>
      </c>
      <c r="H679" s="5">
        <f>IF(G679="","",Rules!$B$1-G679)</f>
        <v/>
      </c>
      <c r="I679" s="5">
        <f>IF(F679="Address issue","address issue",IF(OR(F679="Delivered",F679="Returned to sender",G679=""),"",IF(AND(Rules!$B$3&lt;&gt;"",F679="Held at customs",H679&gt;=Rules!$B$3),"customs &gt;= "&amp;Rules!$B$3&amp;" days",IF(H679&gt;=Rules!$B$2,"idle &gt;= "&amp;Rules!$B$2&amp;" days",""))))</f>
        <v/>
      </c>
      <c r="J679" s="5">
        <f>IF(I679="","",IF(F679="Address issue",0,COUNTIF($I$2:$I$1001,"address issue"))+COUNTIFS($I$2:$I$1001,"?*",$F$2:$F$1001,IF(F679="Address issue","Address issue","&lt;&gt;Address issue"),$H$2:$H$1001,"&gt;"&amp;H679)+1)</f>
        <v/>
      </c>
    </row>
    <row r="680">
      <c r="A680" s="11" t="n">
        <v>100679</v>
      </c>
      <c r="B680" s="11" t="inlineStr">
        <is>
          <t>Канада</t>
        </is>
      </c>
      <c r="C680" s="11" t="inlineStr">
        <is>
          <t>PostLink</t>
        </is>
      </c>
      <c r="D680" s="11" t="inlineStr">
        <is>
          <t>PL60530009</t>
        </is>
      </c>
      <c r="E680" s="12" t="n">
        <v>46278</v>
      </c>
      <c r="F680" s="11" t="inlineStr">
        <is>
          <t>Delivered</t>
        </is>
      </c>
      <c r="G680" s="12" t="n">
        <v>46288</v>
      </c>
      <c r="H680" s="5">
        <f>IF(G680="","",Rules!$B$1-G680)</f>
        <v/>
      </c>
      <c r="I680" s="5">
        <f>IF(F680="Address issue","address issue",IF(OR(F680="Delivered",F680="Returned to sender",G680=""),"",IF(AND(Rules!$B$3&lt;&gt;"",F680="Held at customs",H680&gt;=Rules!$B$3),"customs &gt;= "&amp;Rules!$B$3&amp;" days",IF(H680&gt;=Rules!$B$2,"idle &gt;= "&amp;Rules!$B$2&amp;" days",""))))</f>
        <v/>
      </c>
      <c r="J680" s="5">
        <f>IF(I680="","",IF(F680="Address issue",0,COUNTIF($I$2:$I$1001,"address issue"))+COUNTIFS($I$2:$I$1001,"?*",$F$2:$F$1001,IF(F680="Address issue","Address issue","&lt;&gt;Address issue"),$H$2:$H$1001,"&gt;"&amp;H680)+1)</f>
        <v/>
      </c>
    </row>
    <row r="681">
      <c r="A681" s="11" t="n">
        <v>100680</v>
      </c>
      <c r="B681" s="11" t="inlineStr">
        <is>
          <t>Канада</t>
        </is>
      </c>
      <c r="C681" s="11" t="inlineStr">
        <is>
          <t>PostLink</t>
        </is>
      </c>
      <c r="D681" s="11" t="inlineStr">
        <is>
          <t>PL93466987</t>
        </is>
      </c>
      <c r="E681" s="12" t="n">
        <v>46273</v>
      </c>
      <c r="F681" s="11" t="inlineStr">
        <is>
          <t>Delivered</t>
        </is>
      </c>
      <c r="G681" s="12" t="n">
        <v>46280</v>
      </c>
      <c r="H681" s="5">
        <f>IF(G681="","",Rules!$B$1-G681)</f>
        <v/>
      </c>
      <c r="I681" s="5">
        <f>IF(F681="Address issue","address issue",IF(OR(F681="Delivered",F681="Returned to sender",G681=""),"",IF(AND(Rules!$B$3&lt;&gt;"",F681="Held at customs",H681&gt;=Rules!$B$3),"customs &gt;= "&amp;Rules!$B$3&amp;" days",IF(H681&gt;=Rules!$B$2,"idle &gt;= "&amp;Rules!$B$2&amp;" days",""))))</f>
        <v/>
      </c>
      <c r="J681" s="5">
        <f>IF(I681="","",IF(F681="Address issue",0,COUNTIF($I$2:$I$1001,"address issue"))+COUNTIFS($I$2:$I$1001,"?*",$F$2:$F$1001,IF(F681="Address issue","Address issue","&lt;&gt;Address issue"),$H$2:$H$1001,"&gt;"&amp;H681)+1)</f>
        <v/>
      </c>
    </row>
    <row r="682">
      <c r="A682" s="11" t="n">
        <v>100681</v>
      </c>
      <c r="B682" s="11" t="inlineStr">
        <is>
          <t>Канада</t>
        </is>
      </c>
      <c r="C682" s="11" t="inlineStr">
        <is>
          <t>PostLink</t>
        </is>
      </c>
      <c r="D682" s="11" t="inlineStr">
        <is>
          <t>PL96240496</t>
        </is>
      </c>
      <c r="E682" s="12" t="n">
        <v>46304</v>
      </c>
      <c r="F682" s="11" t="inlineStr">
        <is>
          <t>In transit</t>
        </is>
      </c>
      <c r="G682" s="13" t="n">
        <v>46307</v>
      </c>
      <c r="H682" s="5">
        <f>IF(G682="","",Rules!$B$1-G682)</f>
        <v/>
      </c>
      <c r="I682" s="5">
        <f>IF(F682="Address issue","address issue",IF(OR(F682="Delivered",F682="Returned to sender",G682=""),"",IF(AND(Rules!$B$3&lt;&gt;"",F682="Held at customs",H682&gt;=Rules!$B$3),"customs &gt;= "&amp;Rules!$B$3&amp;" days",IF(H682&gt;=Rules!$B$2,"idle &gt;= "&amp;Rules!$B$2&amp;" days",""))))</f>
        <v/>
      </c>
      <c r="J682" s="5">
        <f>IF(I682="","",IF(F682="Address issue",0,COUNTIF($I$2:$I$1001,"address issue"))+COUNTIFS($I$2:$I$1001,"?*",$F$2:$F$1001,IF(F682="Address issue","Address issue","&lt;&gt;Address issue"),$H$2:$H$1001,"&gt;"&amp;H682)+1)</f>
        <v/>
      </c>
    </row>
    <row r="683">
      <c r="A683" s="11" t="n">
        <v>100682</v>
      </c>
      <c r="B683" s="11" t="inlineStr">
        <is>
          <t>Канада</t>
        </is>
      </c>
      <c r="C683" s="11" t="inlineStr">
        <is>
          <t>PostLink</t>
        </is>
      </c>
      <c r="D683" s="11" t="inlineStr">
        <is>
          <t>PL39707119</t>
        </is>
      </c>
      <c r="E683" s="12" t="n">
        <v>46296</v>
      </c>
      <c r="F683" s="11" t="inlineStr">
        <is>
          <t>In transit</t>
        </is>
      </c>
      <c r="G683" s="12" t="n">
        <v>46304</v>
      </c>
      <c r="H683" s="5">
        <f>IF(G683="","",Rules!$B$1-G683)</f>
        <v/>
      </c>
      <c r="I683" s="5">
        <f>IF(F683="Address issue","address issue",IF(OR(F683="Delivered",F683="Returned to sender",G683=""),"",IF(AND(Rules!$B$3&lt;&gt;"",F683="Held at customs",H683&gt;=Rules!$B$3),"customs &gt;= "&amp;Rules!$B$3&amp;" days",IF(H683&gt;=Rules!$B$2,"idle &gt;= "&amp;Rules!$B$2&amp;" days",""))))</f>
        <v/>
      </c>
      <c r="J683" s="5">
        <f>IF(I683="","",IF(F683="Address issue",0,COUNTIF($I$2:$I$1001,"address issue"))+COUNTIFS($I$2:$I$1001,"?*",$F$2:$F$1001,IF(F683="Address issue","Address issue","&lt;&gt;Address issue"),$H$2:$H$1001,"&gt;"&amp;H683)+1)</f>
        <v/>
      </c>
    </row>
    <row r="684">
      <c r="A684" s="11" t="n">
        <v>100683</v>
      </c>
      <c r="B684" s="11" t="inlineStr">
        <is>
          <t>Канада</t>
        </is>
      </c>
      <c r="C684" s="11" t="inlineStr">
        <is>
          <t>PostLink</t>
        </is>
      </c>
      <c r="D684" s="11" t="inlineStr">
        <is>
          <t>PL73637406</t>
        </is>
      </c>
      <c r="E684" s="12" t="n">
        <v>46294</v>
      </c>
      <c r="F684" s="11" t="inlineStr">
        <is>
          <t>Delivered</t>
        </is>
      </c>
      <c r="G684" s="12" t="n">
        <v>46301</v>
      </c>
      <c r="H684" s="5">
        <f>IF(G684="","",Rules!$B$1-G684)</f>
        <v/>
      </c>
      <c r="I684" s="5">
        <f>IF(F684="Address issue","address issue",IF(OR(F684="Delivered",F684="Returned to sender",G684=""),"",IF(AND(Rules!$B$3&lt;&gt;"",F684="Held at customs",H684&gt;=Rules!$B$3),"customs &gt;= "&amp;Rules!$B$3&amp;" days",IF(H684&gt;=Rules!$B$2,"idle &gt;= "&amp;Rules!$B$2&amp;" days",""))))</f>
        <v/>
      </c>
      <c r="J684" s="5">
        <f>IF(I684="","",IF(F684="Address issue",0,COUNTIF($I$2:$I$1001,"address issue"))+COUNTIFS($I$2:$I$1001,"?*",$F$2:$F$1001,IF(F684="Address issue","Address issue","&lt;&gt;Address issue"),$H$2:$H$1001,"&gt;"&amp;H684)+1)</f>
        <v/>
      </c>
    </row>
    <row r="685">
      <c r="A685" s="11" t="n">
        <v>100684</v>
      </c>
      <c r="B685" s="11" t="inlineStr">
        <is>
          <t>Бразилія</t>
        </is>
      </c>
      <c r="C685" s="11" t="inlineStr">
        <is>
          <t>SwiftParcel</t>
        </is>
      </c>
      <c r="D685" s="11" t="inlineStr">
        <is>
          <t>SP3011697</t>
        </is>
      </c>
      <c r="E685" s="12" t="n">
        <v>46303</v>
      </c>
      <c r="F685" s="11" t="inlineStr">
        <is>
          <t>Address issue</t>
        </is>
      </c>
      <c r="G685" s="13" t="n">
        <v>46305</v>
      </c>
      <c r="H685" s="5">
        <f>IF(G685="","",Rules!$B$1-G685)</f>
        <v/>
      </c>
      <c r="I685" s="5">
        <f>IF(F685="Address issue","address issue",IF(OR(F685="Delivered",F685="Returned to sender",G685=""),"",IF(AND(Rules!$B$3&lt;&gt;"",F685="Held at customs",H685&gt;=Rules!$B$3),"customs &gt;= "&amp;Rules!$B$3&amp;" days",IF(H685&gt;=Rules!$B$2,"idle &gt;= "&amp;Rules!$B$2&amp;" days",""))))</f>
        <v/>
      </c>
      <c r="J685" s="5">
        <f>IF(I685="","",IF(F685="Address issue",0,COUNTIF($I$2:$I$1001,"address issue"))+COUNTIFS($I$2:$I$1001,"?*",$F$2:$F$1001,IF(F685="Address issue","Address issue","&lt;&gt;Address issue"),$H$2:$H$1001,"&gt;"&amp;H685)+1)</f>
        <v/>
      </c>
    </row>
    <row r="686">
      <c r="A686" s="11" t="n">
        <v>100685</v>
      </c>
      <c r="B686" s="11" t="inlineStr">
        <is>
          <t>Мексика</t>
        </is>
      </c>
      <c r="C686" s="11" t="inlineStr">
        <is>
          <t>AndesCargo</t>
        </is>
      </c>
      <c r="D686" s="11" t="inlineStr">
        <is>
          <t>AC18279707</t>
        </is>
      </c>
      <c r="E686" s="12" t="n">
        <v>46295</v>
      </c>
      <c r="F686" s="11" t="inlineStr">
        <is>
          <t>Delivered</t>
        </is>
      </c>
      <c r="G686" s="12" t="n">
        <v>46304</v>
      </c>
      <c r="H686" s="5">
        <f>IF(G686="","",Rules!$B$1-G686)</f>
        <v/>
      </c>
      <c r="I686" s="5">
        <f>IF(F686="Address issue","address issue",IF(OR(F686="Delivered",F686="Returned to sender",G686=""),"",IF(AND(Rules!$B$3&lt;&gt;"",F686="Held at customs",H686&gt;=Rules!$B$3),"customs &gt;= "&amp;Rules!$B$3&amp;" days",IF(H686&gt;=Rules!$B$2,"idle &gt;= "&amp;Rules!$B$2&amp;" days",""))))</f>
        <v/>
      </c>
      <c r="J686" s="5">
        <f>IF(I686="","",IF(F686="Address issue",0,COUNTIF($I$2:$I$1001,"address issue"))+COUNTIFS($I$2:$I$1001,"?*",$F$2:$F$1001,IF(F686="Address issue","Address issue","&lt;&gt;Address issue"),$H$2:$H$1001,"&gt;"&amp;H686)+1)</f>
        <v/>
      </c>
    </row>
    <row r="687">
      <c r="A687" s="11" t="n">
        <v>100686</v>
      </c>
      <c r="B687" s="11" t="inlineStr">
        <is>
          <t>Мексика</t>
        </is>
      </c>
      <c r="C687" s="11" t="inlineStr">
        <is>
          <t>SwiftParcel</t>
        </is>
      </c>
      <c r="D687" s="11" t="inlineStr">
        <is>
          <t>SP8132116</t>
        </is>
      </c>
      <c r="E687" s="12" t="n">
        <v>46290</v>
      </c>
      <c r="F687" s="11" t="inlineStr">
        <is>
          <t>Held at customs</t>
        </is>
      </c>
      <c r="G687" s="12" t="n">
        <v>46297</v>
      </c>
      <c r="H687" s="5">
        <f>IF(G687="","",Rules!$B$1-G687)</f>
        <v/>
      </c>
      <c r="I687" s="5">
        <f>IF(F687="Address issue","address issue",IF(OR(F687="Delivered",F687="Returned to sender",G687=""),"",IF(AND(Rules!$B$3&lt;&gt;"",F687="Held at customs",H687&gt;=Rules!$B$3),"customs &gt;= "&amp;Rules!$B$3&amp;" days",IF(H687&gt;=Rules!$B$2,"idle &gt;= "&amp;Rules!$B$2&amp;" days",""))))</f>
        <v/>
      </c>
      <c r="J687" s="5">
        <f>IF(I687="","",IF(F687="Address issue",0,COUNTIF($I$2:$I$1001,"address issue"))+COUNTIFS($I$2:$I$1001,"?*",$F$2:$F$1001,IF(F687="Address issue","Address issue","&lt;&gt;Address issue"),$H$2:$H$1001,"&gt;"&amp;H687)+1)</f>
        <v/>
      </c>
    </row>
    <row r="688">
      <c r="A688" s="11" t="n">
        <v>100687</v>
      </c>
      <c r="B688" s="11" t="inlineStr">
        <is>
          <t>Мексика</t>
        </is>
      </c>
      <c r="C688" s="11" t="inlineStr">
        <is>
          <t>AndesCargo</t>
        </is>
      </c>
      <c r="D688" s="11" t="inlineStr">
        <is>
          <t>AC31441434</t>
        </is>
      </c>
      <c r="E688" s="12" t="n">
        <v>46297</v>
      </c>
      <c r="F688" s="11" t="inlineStr">
        <is>
          <t>Delivered</t>
        </is>
      </c>
      <c r="G688" s="13" t="n">
        <v>46308</v>
      </c>
      <c r="H688" s="5">
        <f>IF(G688="","",Rules!$B$1-G688)</f>
        <v/>
      </c>
      <c r="I688" s="5">
        <f>IF(F688="Address issue","address issue",IF(OR(F688="Delivered",F688="Returned to sender",G688=""),"",IF(AND(Rules!$B$3&lt;&gt;"",F688="Held at customs",H688&gt;=Rules!$B$3),"customs &gt;= "&amp;Rules!$B$3&amp;" days",IF(H688&gt;=Rules!$B$2,"idle &gt;= "&amp;Rules!$B$2&amp;" days",""))))</f>
        <v/>
      </c>
      <c r="J688" s="5">
        <f>IF(I688="","",IF(F688="Address issue",0,COUNTIF($I$2:$I$1001,"address issue"))+COUNTIFS($I$2:$I$1001,"?*",$F$2:$F$1001,IF(F688="Address issue","Address issue","&lt;&gt;Address issue"),$H$2:$H$1001,"&gt;"&amp;H688)+1)</f>
        <v/>
      </c>
    </row>
    <row r="689">
      <c r="A689" s="11" t="n">
        <v>100688</v>
      </c>
      <c r="B689" s="11" t="inlineStr">
        <is>
          <t>Канада</t>
        </is>
      </c>
      <c r="C689" s="11" t="inlineStr">
        <is>
          <t>PostLink</t>
        </is>
      </c>
      <c r="D689" s="11" t="inlineStr">
        <is>
          <t>PL97918805</t>
        </is>
      </c>
      <c r="E689" s="12" t="n">
        <v>46298</v>
      </c>
      <c r="F689" s="11" t="inlineStr">
        <is>
          <t>In transit</t>
        </is>
      </c>
      <c r="G689" s="13" t="n">
        <v>46306</v>
      </c>
      <c r="H689" s="5">
        <f>IF(G689="","",Rules!$B$1-G689)</f>
        <v/>
      </c>
      <c r="I689" s="5">
        <f>IF(F689="Address issue","address issue",IF(OR(F689="Delivered",F689="Returned to sender",G689=""),"",IF(AND(Rules!$B$3&lt;&gt;"",F689="Held at customs",H689&gt;=Rules!$B$3),"customs &gt;= "&amp;Rules!$B$3&amp;" days",IF(H689&gt;=Rules!$B$2,"idle &gt;= "&amp;Rules!$B$2&amp;" days",""))))</f>
        <v/>
      </c>
      <c r="J689" s="5">
        <f>IF(I689="","",IF(F689="Address issue",0,COUNTIF($I$2:$I$1001,"address issue"))+COUNTIFS($I$2:$I$1001,"?*",$F$2:$F$1001,IF(F689="Address issue","Address issue","&lt;&gt;Address issue"),$H$2:$H$1001,"&gt;"&amp;H689)+1)</f>
        <v/>
      </c>
    </row>
    <row r="690">
      <c r="A690" s="11" t="n">
        <v>100689</v>
      </c>
      <c r="B690" s="11" t="inlineStr">
        <is>
          <t>Канада</t>
        </is>
      </c>
      <c r="C690" s="11" t="inlineStr">
        <is>
          <t>PostLink</t>
        </is>
      </c>
      <c r="D690" s="11" t="inlineStr">
        <is>
          <t>PL70556576</t>
        </is>
      </c>
      <c r="E690" s="12" t="n">
        <v>46303</v>
      </c>
      <c r="F690" s="11" t="inlineStr">
        <is>
          <t>Delivered</t>
        </is>
      </c>
      <c r="G690" s="13" t="n">
        <v>46306</v>
      </c>
      <c r="H690" s="5">
        <f>IF(G690="","",Rules!$B$1-G690)</f>
        <v/>
      </c>
      <c r="I690" s="5">
        <f>IF(F690="Address issue","address issue",IF(OR(F690="Delivered",F690="Returned to sender",G690=""),"",IF(AND(Rules!$B$3&lt;&gt;"",F690="Held at customs",H690&gt;=Rules!$B$3),"customs &gt;= "&amp;Rules!$B$3&amp;" days",IF(H690&gt;=Rules!$B$2,"idle &gt;= "&amp;Rules!$B$2&amp;" days",""))))</f>
        <v/>
      </c>
      <c r="J690" s="5">
        <f>IF(I690="","",IF(F690="Address issue",0,COUNTIF($I$2:$I$1001,"address issue"))+COUNTIFS($I$2:$I$1001,"?*",$F$2:$F$1001,IF(F690="Address issue","Address issue","&lt;&gt;Address issue"),$H$2:$H$1001,"&gt;"&amp;H690)+1)</f>
        <v/>
      </c>
    </row>
    <row r="691">
      <c r="A691" s="11" t="n">
        <v>100690</v>
      </c>
      <c r="B691" s="11" t="inlineStr">
        <is>
          <t>Бразилія</t>
        </is>
      </c>
      <c r="C691" s="11" t="inlineStr">
        <is>
          <t>SwiftParcel</t>
        </is>
      </c>
      <c r="D691" s="11" t="inlineStr">
        <is>
          <t>SP4655121</t>
        </is>
      </c>
      <c r="E691" s="12" t="n">
        <v>46301</v>
      </c>
      <c r="F691" s="11" t="inlineStr">
        <is>
          <t>In transit</t>
        </is>
      </c>
      <c r="G691" s="13" t="n">
        <v>46307</v>
      </c>
      <c r="H691" s="5">
        <f>IF(G691="","",Rules!$B$1-G691)</f>
        <v/>
      </c>
      <c r="I691" s="5">
        <f>IF(F691="Address issue","address issue",IF(OR(F691="Delivered",F691="Returned to sender",G691=""),"",IF(AND(Rules!$B$3&lt;&gt;"",F691="Held at customs",H691&gt;=Rules!$B$3),"customs &gt;= "&amp;Rules!$B$3&amp;" days",IF(H691&gt;=Rules!$B$2,"idle &gt;= "&amp;Rules!$B$2&amp;" days",""))))</f>
        <v/>
      </c>
      <c r="J691" s="5">
        <f>IF(I691="","",IF(F691="Address issue",0,COUNTIF($I$2:$I$1001,"address issue"))+COUNTIFS($I$2:$I$1001,"?*",$F$2:$F$1001,IF(F691="Address issue","Address issue","&lt;&gt;Address issue"),$H$2:$H$1001,"&gt;"&amp;H691)+1)</f>
        <v/>
      </c>
    </row>
    <row r="692">
      <c r="A692" s="11" t="n">
        <v>100691</v>
      </c>
      <c r="B692" s="11" t="inlineStr">
        <is>
          <t>Канада</t>
        </is>
      </c>
      <c r="C692" s="11" t="inlineStr">
        <is>
          <t>PostLink</t>
        </is>
      </c>
      <c r="D692" s="11" t="inlineStr">
        <is>
          <t>PL87466688</t>
        </is>
      </c>
      <c r="E692" s="12" t="n">
        <v>46279</v>
      </c>
      <c r="F692" s="11" t="inlineStr">
        <is>
          <t>Delivered</t>
        </is>
      </c>
      <c r="G692" s="12" t="n">
        <v>46289</v>
      </c>
      <c r="H692" s="5">
        <f>IF(G692="","",Rules!$B$1-G692)</f>
        <v/>
      </c>
      <c r="I692" s="5">
        <f>IF(F692="Address issue","address issue",IF(OR(F692="Delivered",F692="Returned to sender",G692=""),"",IF(AND(Rules!$B$3&lt;&gt;"",F692="Held at customs",H692&gt;=Rules!$B$3),"customs &gt;= "&amp;Rules!$B$3&amp;" days",IF(H692&gt;=Rules!$B$2,"idle &gt;= "&amp;Rules!$B$2&amp;" days",""))))</f>
        <v/>
      </c>
      <c r="J692" s="5">
        <f>IF(I692="","",IF(F692="Address issue",0,COUNTIF($I$2:$I$1001,"address issue"))+COUNTIFS($I$2:$I$1001,"?*",$F$2:$F$1001,IF(F692="Address issue","Address issue","&lt;&gt;Address issue"),$H$2:$H$1001,"&gt;"&amp;H692)+1)</f>
        <v/>
      </c>
    </row>
    <row r="693">
      <c r="A693" s="11" t="n">
        <v>100692</v>
      </c>
      <c r="B693" s="11" t="inlineStr">
        <is>
          <t>Бразилія</t>
        </is>
      </c>
      <c r="C693" s="11" t="inlineStr">
        <is>
          <t>AndesCargo</t>
        </is>
      </c>
      <c r="D693" s="11" t="inlineStr">
        <is>
          <t>AC48190603</t>
        </is>
      </c>
      <c r="E693" s="12" t="n">
        <v>46299</v>
      </c>
      <c r="F693" s="11" t="inlineStr">
        <is>
          <t>Out for delivery</t>
        </is>
      </c>
      <c r="G693" s="13" t="n">
        <v>46306</v>
      </c>
      <c r="H693" s="5">
        <f>IF(G693="","",Rules!$B$1-G693)</f>
        <v/>
      </c>
      <c r="I693" s="5">
        <f>IF(F693="Address issue","address issue",IF(OR(F693="Delivered",F693="Returned to sender",G693=""),"",IF(AND(Rules!$B$3&lt;&gt;"",F693="Held at customs",H693&gt;=Rules!$B$3),"customs &gt;= "&amp;Rules!$B$3&amp;" days",IF(H693&gt;=Rules!$B$2,"idle &gt;= "&amp;Rules!$B$2&amp;" days",""))))</f>
        <v/>
      </c>
      <c r="J693" s="5">
        <f>IF(I693="","",IF(F693="Address issue",0,COUNTIF($I$2:$I$1001,"address issue"))+COUNTIFS($I$2:$I$1001,"?*",$F$2:$F$1001,IF(F693="Address issue","Address issue","&lt;&gt;Address issue"),$H$2:$H$1001,"&gt;"&amp;H693)+1)</f>
        <v/>
      </c>
    </row>
    <row r="694">
      <c r="A694" s="11" t="n">
        <v>100693</v>
      </c>
      <c r="B694" s="11" t="inlineStr">
        <is>
          <t>Мексика</t>
        </is>
      </c>
      <c r="C694" s="11" t="inlineStr">
        <is>
          <t>AndesCargo</t>
        </is>
      </c>
      <c r="D694" s="11" t="inlineStr">
        <is>
          <t>AC70092838</t>
        </is>
      </c>
      <c r="E694" s="12" t="n">
        <v>46299</v>
      </c>
      <c r="F694" s="11" t="inlineStr">
        <is>
          <t>Delivered</t>
        </is>
      </c>
      <c r="G694" s="13" t="n">
        <v>46307</v>
      </c>
      <c r="H694" s="5">
        <f>IF(G694="","",Rules!$B$1-G694)</f>
        <v/>
      </c>
      <c r="I694" s="5">
        <f>IF(F694="Address issue","address issue",IF(OR(F694="Delivered",F694="Returned to sender",G694=""),"",IF(AND(Rules!$B$3&lt;&gt;"",F694="Held at customs",H694&gt;=Rules!$B$3),"customs &gt;= "&amp;Rules!$B$3&amp;" days",IF(H694&gt;=Rules!$B$2,"idle &gt;= "&amp;Rules!$B$2&amp;" days",""))))</f>
        <v/>
      </c>
      <c r="J694" s="5">
        <f>IF(I694="","",IF(F694="Address issue",0,COUNTIF($I$2:$I$1001,"address issue"))+COUNTIFS($I$2:$I$1001,"?*",$F$2:$F$1001,IF(F694="Address issue","Address issue","&lt;&gt;Address issue"),$H$2:$H$1001,"&gt;"&amp;H694)+1)</f>
        <v/>
      </c>
    </row>
    <row r="695">
      <c r="A695" s="11" t="n">
        <v>100694</v>
      </c>
      <c r="B695" s="11" t="inlineStr">
        <is>
          <t>Бразилія</t>
        </is>
      </c>
      <c r="C695" s="11" t="inlineStr">
        <is>
          <t>AndesCargo</t>
        </is>
      </c>
      <c r="D695" s="11" t="inlineStr">
        <is>
          <t>AC78321861</t>
        </is>
      </c>
      <c r="E695" s="12" t="n">
        <v>46300</v>
      </c>
      <c r="F695" s="11" t="inlineStr">
        <is>
          <t>In transit</t>
        </is>
      </c>
      <c r="G695" s="12" t="n">
        <v>46304</v>
      </c>
      <c r="H695" s="5">
        <f>IF(G695="","",Rules!$B$1-G695)</f>
        <v/>
      </c>
      <c r="I695" s="5">
        <f>IF(F695="Address issue","address issue",IF(OR(F695="Delivered",F695="Returned to sender",G695=""),"",IF(AND(Rules!$B$3&lt;&gt;"",F695="Held at customs",H695&gt;=Rules!$B$3),"customs &gt;= "&amp;Rules!$B$3&amp;" days",IF(H695&gt;=Rules!$B$2,"idle &gt;= "&amp;Rules!$B$2&amp;" days",""))))</f>
        <v/>
      </c>
      <c r="J695" s="5">
        <f>IF(I695="","",IF(F695="Address issue",0,COUNTIF($I$2:$I$1001,"address issue"))+COUNTIFS($I$2:$I$1001,"?*",$F$2:$F$1001,IF(F695="Address issue","Address issue","&lt;&gt;Address issue"),$H$2:$H$1001,"&gt;"&amp;H695)+1)</f>
        <v/>
      </c>
    </row>
    <row r="696">
      <c r="A696" s="11" t="n">
        <v>100695</v>
      </c>
      <c r="B696" s="11" t="inlineStr">
        <is>
          <t>Бразилія</t>
        </is>
      </c>
      <c r="C696" s="11" t="inlineStr">
        <is>
          <t>AndesCargo</t>
        </is>
      </c>
      <c r="D696" s="11" t="inlineStr">
        <is>
          <t>AC44135638</t>
        </is>
      </c>
      <c r="E696" s="12" t="n">
        <v>46301</v>
      </c>
      <c r="F696" s="11" t="inlineStr">
        <is>
          <t>Delivered</t>
        </is>
      </c>
      <c r="G696" s="13" t="n">
        <v>46306</v>
      </c>
      <c r="H696" s="5">
        <f>IF(G696="","",Rules!$B$1-G696)</f>
        <v/>
      </c>
      <c r="I696" s="5">
        <f>IF(F696="Address issue","address issue",IF(OR(F696="Delivered",F696="Returned to sender",G696=""),"",IF(AND(Rules!$B$3&lt;&gt;"",F696="Held at customs",H696&gt;=Rules!$B$3),"customs &gt;= "&amp;Rules!$B$3&amp;" days",IF(H696&gt;=Rules!$B$2,"idle &gt;= "&amp;Rules!$B$2&amp;" days",""))))</f>
        <v/>
      </c>
      <c r="J696" s="5">
        <f>IF(I696="","",IF(F696="Address issue",0,COUNTIF($I$2:$I$1001,"address issue"))+COUNTIFS($I$2:$I$1001,"?*",$F$2:$F$1001,IF(F696="Address issue","Address issue","&lt;&gt;Address issue"),$H$2:$H$1001,"&gt;"&amp;H696)+1)</f>
        <v/>
      </c>
    </row>
    <row r="697">
      <c r="A697" s="11" t="n">
        <v>100696</v>
      </c>
      <c r="B697" s="11" t="inlineStr">
        <is>
          <t>Мексика</t>
        </is>
      </c>
      <c r="C697" s="11" t="inlineStr">
        <is>
          <t>SwiftParcel</t>
        </is>
      </c>
      <c r="D697" s="11" t="inlineStr">
        <is>
          <t>SP8202361</t>
        </is>
      </c>
      <c r="E697" s="12" t="n">
        <v>46302</v>
      </c>
      <c r="F697" s="11" t="inlineStr">
        <is>
          <t>Held at customs</t>
        </is>
      </c>
      <c r="G697" s="12" t="n">
        <v>46303</v>
      </c>
      <c r="H697" s="5">
        <f>IF(G697="","",Rules!$B$1-G697)</f>
        <v/>
      </c>
      <c r="I697" s="5">
        <f>IF(F697="Address issue","address issue",IF(OR(F697="Delivered",F697="Returned to sender",G697=""),"",IF(AND(Rules!$B$3&lt;&gt;"",F697="Held at customs",H697&gt;=Rules!$B$3),"customs &gt;= "&amp;Rules!$B$3&amp;" days",IF(H697&gt;=Rules!$B$2,"idle &gt;= "&amp;Rules!$B$2&amp;" days",""))))</f>
        <v/>
      </c>
      <c r="J697" s="5">
        <f>IF(I697="","",IF(F697="Address issue",0,COUNTIF($I$2:$I$1001,"address issue"))+COUNTIFS($I$2:$I$1001,"?*",$F$2:$F$1001,IF(F697="Address issue","Address issue","&lt;&gt;Address issue"),$H$2:$H$1001,"&gt;"&amp;H697)+1)</f>
        <v/>
      </c>
    </row>
    <row r="698">
      <c r="A698" s="11" t="n">
        <v>100697</v>
      </c>
      <c r="B698" s="11" t="inlineStr">
        <is>
          <t>Бразилія</t>
        </is>
      </c>
      <c r="C698" s="11" t="inlineStr">
        <is>
          <t>SwiftParcel</t>
        </is>
      </c>
      <c r="D698" s="11" t="inlineStr">
        <is>
          <t>SP8863878</t>
        </is>
      </c>
      <c r="E698" s="12" t="n">
        <v>46303</v>
      </c>
      <c r="F698" s="11" t="inlineStr">
        <is>
          <t>Delivered</t>
        </is>
      </c>
      <c r="G698" s="13" t="n">
        <v>46308</v>
      </c>
      <c r="H698" s="5">
        <f>IF(G698="","",Rules!$B$1-G698)</f>
        <v/>
      </c>
      <c r="I698" s="5">
        <f>IF(F698="Address issue","address issue",IF(OR(F698="Delivered",F698="Returned to sender",G698=""),"",IF(AND(Rules!$B$3&lt;&gt;"",F698="Held at customs",H698&gt;=Rules!$B$3),"customs &gt;= "&amp;Rules!$B$3&amp;" days",IF(H698&gt;=Rules!$B$2,"idle &gt;= "&amp;Rules!$B$2&amp;" days",""))))</f>
        <v/>
      </c>
      <c r="J698" s="5">
        <f>IF(I698="","",IF(F698="Address issue",0,COUNTIF($I$2:$I$1001,"address issue"))+COUNTIFS($I$2:$I$1001,"?*",$F$2:$F$1001,IF(F698="Address issue","Address issue","&lt;&gt;Address issue"),$H$2:$H$1001,"&gt;"&amp;H698)+1)</f>
        <v/>
      </c>
    </row>
    <row r="699">
      <c r="A699" s="11" t="n">
        <v>100698</v>
      </c>
      <c r="B699" s="11" t="inlineStr">
        <is>
          <t>Бразилія</t>
        </is>
      </c>
      <c r="C699" s="11" t="inlineStr">
        <is>
          <t>SwiftParcel</t>
        </is>
      </c>
      <c r="D699" s="11" t="inlineStr">
        <is>
          <t>SP5901234</t>
        </is>
      </c>
      <c r="E699" s="12" t="n">
        <v>46279</v>
      </c>
      <c r="F699" s="11" t="inlineStr">
        <is>
          <t>Delivered</t>
        </is>
      </c>
      <c r="G699" s="12" t="n">
        <v>46285</v>
      </c>
      <c r="H699" s="5">
        <f>IF(G699="","",Rules!$B$1-G699)</f>
        <v/>
      </c>
      <c r="I699" s="5">
        <f>IF(F699="Address issue","address issue",IF(OR(F699="Delivered",F699="Returned to sender",G699=""),"",IF(AND(Rules!$B$3&lt;&gt;"",F699="Held at customs",H699&gt;=Rules!$B$3),"customs &gt;= "&amp;Rules!$B$3&amp;" days",IF(H699&gt;=Rules!$B$2,"idle &gt;= "&amp;Rules!$B$2&amp;" days",""))))</f>
        <v/>
      </c>
      <c r="J699" s="5">
        <f>IF(I699="","",IF(F699="Address issue",0,COUNTIF($I$2:$I$1001,"address issue"))+COUNTIFS($I$2:$I$1001,"?*",$F$2:$F$1001,IF(F699="Address issue","Address issue","&lt;&gt;Address issue"),$H$2:$H$1001,"&gt;"&amp;H699)+1)</f>
        <v/>
      </c>
    </row>
    <row r="700">
      <c r="A700" s="11" t="n">
        <v>100699</v>
      </c>
      <c r="B700" s="11" t="inlineStr">
        <is>
          <t>Мексика</t>
        </is>
      </c>
      <c r="C700" s="11" t="inlineStr">
        <is>
          <t>AndesCargo</t>
        </is>
      </c>
      <c r="D700" s="11" t="inlineStr">
        <is>
          <t>AC26128327</t>
        </is>
      </c>
      <c r="E700" s="12" t="n">
        <v>46296</v>
      </c>
      <c r="F700" s="11" t="inlineStr">
        <is>
          <t>Delivered</t>
        </is>
      </c>
      <c r="G700" s="12" t="n">
        <v>46301</v>
      </c>
      <c r="H700" s="5">
        <f>IF(G700="","",Rules!$B$1-G700)</f>
        <v/>
      </c>
      <c r="I700" s="5">
        <f>IF(F700="Address issue","address issue",IF(OR(F700="Delivered",F700="Returned to sender",G700=""),"",IF(AND(Rules!$B$3&lt;&gt;"",F700="Held at customs",H700&gt;=Rules!$B$3),"customs &gt;= "&amp;Rules!$B$3&amp;" days",IF(H700&gt;=Rules!$B$2,"idle &gt;= "&amp;Rules!$B$2&amp;" days",""))))</f>
        <v/>
      </c>
      <c r="J700" s="5">
        <f>IF(I700="","",IF(F700="Address issue",0,COUNTIF($I$2:$I$1001,"address issue"))+COUNTIFS($I$2:$I$1001,"?*",$F$2:$F$1001,IF(F700="Address issue","Address issue","&lt;&gt;Address issue"),$H$2:$H$1001,"&gt;"&amp;H700)+1)</f>
        <v/>
      </c>
    </row>
    <row r="701">
      <c r="A701" s="11" t="n">
        <v>100700</v>
      </c>
      <c r="B701" s="11" t="inlineStr">
        <is>
          <t>Мексика</t>
        </is>
      </c>
      <c r="C701" s="11" t="inlineStr">
        <is>
          <t>SwiftParcel</t>
        </is>
      </c>
      <c r="D701" s="11" t="inlineStr">
        <is>
          <t>SP8024515</t>
        </is>
      </c>
      <c r="E701" s="12" t="n">
        <v>46282</v>
      </c>
      <c r="F701" s="11" t="inlineStr">
        <is>
          <t>Delivered</t>
        </is>
      </c>
      <c r="G701" s="12" t="n">
        <v>46289</v>
      </c>
      <c r="H701" s="5">
        <f>IF(G701="","",Rules!$B$1-G701)</f>
        <v/>
      </c>
      <c r="I701" s="5">
        <f>IF(F701="Address issue","address issue",IF(OR(F701="Delivered",F701="Returned to sender",G701=""),"",IF(AND(Rules!$B$3&lt;&gt;"",F701="Held at customs",H701&gt;=Rules!$B$3),"customs &gt;= "&amp;Rules!$B$3&amp;" days",IF(H701&gt;=Rules!$B$2,"idle &gt;= "&amp;Rules!$B$2&amp;" days",""))))</f>
        <v/>
      </c>
      <c r="J701" s="5">
        <f>IF(I701="","",IF(F701="Address issue",0,COUNTIF($I$2:$I$1001,"address issue"))+COUNTIFS($I$2:$I$1001,"?*",$F$2:$F$1001,IF(F701="Address issue","Address issue","&lt;&gt;Address issue"),$H$2:$H$1001,"&gt;"&amp;H701)+1)</f>
        <v/>
      </c>
    </row>
    <row r="702">
      <c r="A702" s="11" t="n">
        <v>100701</v>
      </c>
      <c r="B702" s="11" t="inlineStr">
        <is>
          <t>Канада</t>
        </is>
      </c>
      <c r="C702" s="11" t="inlineStr">
        <is>
          <t>PostLink</t>
        </is>
      </c>
      <c r="D702" s="11" t="inlineStr">
        <is>
          <t>PL79574215</t>
        </is>
      </c>
      <c r="E702" s="13" t="n">
        <v>46307</v>
      </c>
      <c r="F702" s="11" t="inlineStr">
        <is>
          <t>In transit</t>
        </is>
      </c>
      <c r="G702" s="13" t="n">
        <v>46310</v>
      </c>
      <c r="H702" s="5">
        <f>IF(G702="","",Rules!$B$1-G702)</f>
        <v/>
      </c>
      <c r="I702" s="5">
        <f>IF(F702="Address issue","address issue",IF(OR(F702="Delivered",F702="Returned to sender",G702=""),"",IF(AND(Rules!$B$3&lt;&gt;"",F702="Held at customs",H702&gt;=Rules!$B$3),"customs &gt;= "&amp;Rules!$B$3&amp;" days",IF(H702&gt;=Rules!$B$2,"idle &gt;= "&amp;Rules!$B$2&amp;" days",""))))</f>
        <v/>
      </c>
      <c r="J702" s="5">
        <f>IF(I702="","",IF(F702="Address issue",0,COUNTIF($I$2:$I$1001,"address issue"))+COUNTIFS($I$2:$I$1001,"?*",$F$2:$F$1001,IF(F702="Address issue","Address issue","&lt;&gt;Address issue"),$H$2:$H$1001,"&gt;"&amp;H702)+1)</f>
        <v/>
      </c>
    </row>
    <row r="703">
      <c r="A703" s="11" t="n">
        <v>100702</v>
      </c>
      <c r="B703" s="11" t="inlineStr">
        <is>
          <t>Мексика</t>
        </is>
      </c>
      <c r="C703" s="11" t="inlineStr">
        <is>
          <t>AndesCargo</t>
        </is>
      </c>
      <c r="D703" s="11" t="inlineStr">
        <is>
          <t>AC58141342</t>
        </is>
      </c>
      <c r="E703" s="12" t="n">
        <v>46278</v>
      </c>
      <c r="F703" s="11" t="inlineStr">
        <is>
          <t>Delivered</t>
        </is>
      </c>
      <c r="G703" s="12" t="n">
        <v>46281</v>
      </c>
      <c r="H703" s="5">
        <f>IF(G703="","",Rules!$B$1-G703)</f>
        <v/>
      </c>
      <c r="I703" s="5">
        <f>IF(F703="Address issue","address issue",IF(OR(F703="Delivered",F703="Returned to sender",G703=""),"",IF(AND(Rules!$B$3&lt;&gt;"",F703="Held at customs",H703&gt;=Rules!$B$3),"customs &gt;= "&amp;Rules!$B$3&amp;" days",IF(H703&gt;=Rules!$B$2,"idle &gt;= "&amp;Rules!$B$2&amp;" days",""))))</f>
        <v/>
      </c>
      <c r="J703" s="5">
        <f>IF(I703="","",IF(F703="Address issue",0,COUNTIF($I$2:$I$1001,"address issue"))+COUNTIFS($I$2:$I$1001,"?*",$F$2:$F$1001,IF(F703="Address issue","Address issue","&lt;&gt;Address issue"),$H$2:$H$1001,"&gt;"&amp;H703)+1)</f>
        <v/>
      </c>
    </row>
    <row r="704">
      <c r="A704" s="11" t="n">
        <v>100703</v>
      </c>
      <c r="B704" s="11" t="inlineStr">
        <is>
          <t>Бразилія</t>
        </is>
      </c>
      <c r="C704" s="11" t="inlineStr">
        <is>
          <t>SwiftParcel</t>
        </is>
      </c>
      <c r="D704" s="11" t="inlineStr">
        <is>
          <t>SP1528195</t>
        </is>
      </c>
      <c r="E704" s="12" t="n">
        <v>46291</v>
      </c>
      <c r="F704" s="11" t="inlineStr">
        <is>
          <t>Delivered</t>
        </is>
      </c>
      <c r="G704" s="12" t="n">
        <v>46301</v>
      </c>
      <c r="H704" s="5">
        <f>IF(G704="","",Rules!$B$1-G704)</f>
        <v/>
      </c>
      <c r="I704" s="5">
        <f>IF(F704="Address issue","address issue",IF(OR(F704="Delivered",F704="Returned to sender",G704=""),"",IF(AND(Rules!$B$3&lt;&gt;"",F704="Held at customs",H704&gt;=Rules!$B$3),"customs &gt;= "&amp;Rules!$B$3&amp;" days",IF(H704&gt;=Rules!$B$2,"idle &gt;= "&amp;Rules!$B$2&amp;" days",""))))</f>
        <v/>
      </c>
      <c r="J704" s="5">
        <f>IF(I704="","",IF(F704="Address issue",0,COUNTIF($I$2:$I$1001,"address issue"))+COUNTIFS($I$2:$I$1001,"?*",$F$2:$F$1001,IF(F704="Address issue","Address issue","&lt;&gt;Address issue"),$H$2:$H$1001,"&gt;"&amp;H704)+1)</f>
        <v/>
      </c>
    </row>
    <row r="705">
      <c r="A705" s="11" t="n">
        <v>100704</v>
      </c>
      <c r="B705" s="11" t="inlineStr">
        <is>
          <t>Мексика</t>
        </is>
      </c>
      <c r="C705" s="11" t="inlineStr">
        <is>
          <t>AndesCargo</t>
        </is>
      </c>
      <c r="D705" s="11" t="inlineStr">
        <is>
          <t>AC32648379</t>
        </is>
      </c>
      <c r="E705" s="12" t="n">
        <v>46287</v>
      </c>
      <c r="F705" s="11" t="inlineStr">
        <is>
          <t>In transit</t>
        </is>
      </c>
      <c r="G705" s="12" t="n">
        <v>46292</v>
      </c>
      <c r="H705" s="5">
        <f>IF(G705="","",Rules!$B$1-G705)</f>
        <v/>
      </c>
      <c r="I705" s="5">
        <f>IF(F705="Address issue","address issue",IF(OR(F705="Delivered",F705="Returned to sender",G705=""),"",IF(AND(Rules!$B$3&lt;&gt;"",F705="Held at customs",H705&gt;=Rules!$B$3),"customs &gt;= "&amp;Rules!$B$3&amp;" days",IF(H705&gt;=Rules!$B$2,"idle &gt;= "&amp;Rules!$B$2&amp;" days",""))))</f>
        <v/>
      </c>
      <c r="J705" s="5">
        <f>IF(I705="","",IF(F705="Address issue",0,COUNTIF($I$2:$I$1001,"address issue"))+COUNTIFS($I$2:$I$1001,"?*",$F$2:$F$1001,IF(F705="Address issue","Address issue","&lt;&gt;Address issue"),$H$2:$H$1001,"&gt;"&amp;H705)+1)</f>
        <v/>
      </c>
    </row>
    <row r="706">
      <c r="A706" s="11" t="n">
        <v>100705</v>
      </c>
      <c r="B706" s="11" t="inlineStr">
        <is>
          <t>Канада</t>
        </is>
      </c>
      <c r="C706" s="11" t="inlineStr">
        <is>
          <t>PostLink</t>
        </is>
      </c>
      <c r="D706" s="11" t="inlineStr">
        <is>
          <t>PL84541956</t>
        </is>
      </c>
      <c r="E706" s="12" t="n">
        <v>46300</v>
      </c>
      <c r="F706" s="11" t="inlineStr">
        <is>
          <t>Label created</t>
        </is>
      </c>
      <c r="G706" s="12" t="n">
        <v>46300</v>
      </c>
      <c r="H706" s="5">
        <f>IF(G706="","",Rules!$B$1-G706)</f>
        <v/>
      </c>
      <c r="I706" s="5">
        <f>IF(F706="Address issue","address issue",IF(OR(F706="Delivered",F706="Returned to sender",G706=""),"",IF(AND(Rules!$B$3&lt;&gt;"",F706="Held at customs",H706&gt;=Rules!$B$3),"customs &gt;= "&amp;Rules!$B$3&amp;" days",IF(H706&gt;=Rules!$B$2,"idle &gt;= "&amp;Rules!$B$2&amp;" days",""))))</f>
        <v/>
      </c>
      <c r="J706" s="5">
        <f>IF(I706="","",IF(F706="Address issue",0,COUNTIF($I$2:$I$1001,"address issue"))+COUNTIFS($I$2:$I$1001,"?*",$F$2:$F$1001,IF(F706="Address issue","Address issue","&lt;&gt;Address issue"),$H$2:$H$1001,"&gt;"&amp;H706)+1)</f>
        <v/>
      </c>
    </row>
    <row r="707">
      <c r="A707" s="11" t="n">
        <v>100706</v>
      </c>
      <c r="B707" s="11" t="inlineStr">
        <is>
          <t>Мексика</t>
        </is>
      </c>
      <c r="C707" s="11" t="inlineStr">
        <is>
          <t>AndesCargo</t>
        </is>
      </c>
      <c r="D707" s="11" t="inlineStr">
        <is>
          <t>AC27658945</t>
        </is>
      </c>
      <c r="E707" s="13" t="n">
        <v>46306</v>
      </c>
      <c r="F707" s="11" t="inlineStr">
        <is>
          <t>Held at customs</t>
        </is>
      </c>
      <c r="G707" s="13" t="n">
        <v>46309</v>
      </c>
      <c r="H707" s="5">
        <f>IF(G707="","",Rules!$B$1-G707)</f>
        <v/>
      </c>
      <c r="I707" s="5">
        <f>IF(F707="Address issue","address issue",IF(OR(F707="Delivered",F707="Returned to sender",G707=""),"",IF(AND(Rules!$B$3&lt;&gt;"",F707="Held at customs",H707&gt;=Rules!$B$3),"customs &gt;= "&amp;Rules!$B$3&amp;" days",IF(H707&gt;=Rules!$B$2,"idle &gt;= "&amp;Rules!$B$2&amp;" days",""))))</f>
        <v/>
      </c>
      <c r="J707" s="5">
        <f>IF(I707="","",IF(F707="Address issue",0,COUNTIF($I$2:$I$1001,"address issue"))+COUNTIFS($I$2:$I$1001,"?*",$F$2:$F$1001,IF(F707="Address issue","Address issue","&lt;&gt;Address issue"),$H$2:$H$1001,"&gt;"&amp;H707)+1)</f>
        <v/>
      </c>
    </row>
    <row r="708">
      <c r="A708" s="11" t="n">
        <v>100707</v>
      </c>
      <c r="B708" s="11" t="inlineStr">
        <is>
          <t>Мексика</t>
        </is>
      </c>
      <c r="C708" s="11" t="inlineStr">
        <is>
          <t>AndesCargo</t>
        </is>
      </c>
      <c r="D708" s="11" t="inlineStr">
        <is>
          <t>AC32471118</t>
        </is>
      </c>
      <c r="E708" s="12" t="n">
        <v>46275</v>
      </c>
      <c r="F708" s="11" t="inlineStr">
        <is>
          <t>Delivered</t>
        </is>
      </c>
      <c r="G708" s="12" t="n">
        <v>46285</v>
      </c>
      <c r="H708" s="5">
        <f>IF(G708="","",Rules!$B$1-G708)</f>
        <v/>
      </c>
      <c r="I708" s="5">
        <f>IF(F708="Address issue","address issue",IF(OR(F708="Delivered",F708="Returned to sender",G708=""),"",IF(AND(Rules!$B$3&lt;&gt;"",F708="Held at customs",H708&gt;=Rules!$B$3),"customs &gt;= "&amp;Rules!$B$3&amp;" days",IF(H708&gt;=Rules!$B$2,"idle &gt;= "&amp;Rules!$B$2&amp;" days",""))))</f>
        <v/>
      </c>
      <c r="J708" s="5">
        <f>IF(I708="","",IF(F708="Address issue",0,COUNTIF($I$2:$I$1001,"address issue"))+COUNTIFS($I$2:$I$1001,"?*",$F$2:$F$1001,IF(F708="Address issue","Address issue","&lt;&gt;Address issue"),$H$2:$H$1001,"&gt;"&amp;H708)+1)</f>
        <v/>
      </c>
    </row>
    <row r="709">
      <c r="A709" s="11" t="n">
        <v>100708</v>
      </c>
      <c r="B709" s="11" t="inlineStr">
        <is>
          <t>Мексика</t>
        </is>
      </c>
      <c r="C709" s="11" t="inlineStr">
        <is>
          <t>AndesCargo</t>
        </is>
      </c>
      <c r="D709" s="11" t="inlineStr">
        <is>
          <t>AC66418976</t>
        </is>
      </c>
      <c r="E709" s="13" t="n">
        <v>46305</v>
      </c>
      <c r="F709" s="11" t="inlineStr">
        <is>
          <t>In transit</t>
        </is>
      </c>
      <c r="G709" s="13" t="n">
        <v>46306</v>
      </c>
      <c r="H709" s="5">
        <f>IF(G709="","",Rules!$B$1-G709)</f>
        <v/>
      </c>
      <c r="I709" s="5">
        <f>IF(F709="Address issue","address issue",IF(OR(F709="Delivered",F709="Returned to sender",G709=""),"",IF(AND(Rules!$B$3&lt;&gt;"",F709="Held at customs",H709&gt;=Rules!$B$3),"customs &gt;= "&amp;Rules!$B$3&amp;" days",IF(H709&gt;=Rules!$B$2,"idle &gt;= "&amp;Rules!$B$2&amp;" days",""))))</f>
        <v/>
      </c>
      <c r="J709" s="5">
        <f>IF(I709="","",IF(F709="Address issue",0,COUNTIF($I$2:$I$1001,"address issue"))+COUNTIFS($I$2:$I$1001,"?*",$F$2:$F$1001,IF(F709="Address issue","Address issue","&lt;&gt;Address issue"),$H$2:$H$1001,"&gt;"&amp;H709)+1)</f>
        <v/>
      </c>
    </row>
    <row r="710">
      <c r="A710" s="11" t="n">
        <v>100709</v>
      </c>
      <c r="B710" s="11" t="inlineStr">
        <is>
          <t>Бразилія</t>
        </is>
      </c>
      <c r="C710" s="11" t="inlineStr">
        <is>
          <t>SwiftParcel</t>
        </is>
      </c>
      <c r="D710" s="11" t="inlineStr">
        <is>
          <t>SP9543042</t>
        </is>
      </c>
      <c r="E710" s="12" t="n">
        <v>46283</v>
      </c>
      <c r="F710" s="11" t="inlineStr">
        <is>
          <t>Delivered</t>
        </is>
      </c>
      <c r="G710" s="12" t="n">
        <v>46286</v>
      </c>
      <c r="H710" s="5">
        <f>IF(G710="","",Rules!$B$1-G710)</f>
        <v/>
      </c>
      <c r="I710" s="5">
        <f>IF(F710="Address issue","address issue",IF(OR(F710="Delivered",F710="Returned to sender",G710=""),"",IF(AND(Rules!$B$3&lt;&gt;"",F710="Held at customs",H710&gt;=Rules!$B$3),"customs &gt;= "&amp;Rules!$B$3&amp;" days",IF(H710&gt;=Rules!$B$2,"idle &gt;= "&amp;Rules!$B$2&amp;" days",""))))</f>
        <v/>
      </c>
      <c r="J710" s="5">
        <f>IF(I710="","",IF(F710="Address issue",0,COUNTIF($I$2:$I$1001,"address issue"))+COUNTIFS($I$2:$I$1001,"?*",$F$2:$F$1001,IF(F710="Address issue","Address issue","&lt;&gt;Address issue"),$H$2:$H$1001,"&gt;"&amp;H710)+1)</f>
        <v/>
      </c>
    </row>
    <row r="711">
      <c r="A711" s="11" t="n">
        <v>100710</v>
      </c>
      <c r="B711" s="11" t="inlineStr">
        <is>
          <t>Канада</t>
        </is>
      </c>
      <c r="C711" s="11" t="inlineStr">
        <is>
          <t>PostLink</t>
        </is>
      </c>
      <c r="D711" s="11" t="inlineStr">
        <is>
          <t>PL86437092</t>
        </is>
      </c>
      <c r="E711" s="12" t="n">
        <v>46295</v>
      </c>
      <c r="F711" s="11" t="inlineStr">
        <is>
          <t>Delivered</t>
        </is>
      </c>
      <c r="G711" s="13" t="n">
        <v>46307</v>
      </c>
      <c r="H711" s="5">
        <f>IF(G711="","",Rules!$B$1-G711)</f>
        <v/>
      </c>
      <c r="I711" s="5">
        <f>IF(F711="Address issue","address issue",IF(OR(F711="Delivered",F711="Returned to sender",G711=""),"",IF(AND(Rules!$B$3&lt;&gt;"",F711="Held at customs",H711&gt;=Rules!$B$3),"customs &gt;= "&amp;Rules!$B$3&amp;" days",IF(H711&gt;=Rules!$B$2,"idle &gt;= "&amp;Rules!$B$2&amp;" days",""))))</f>
        <v/>
      </c>
      <c r="J711" s="5">
        <f>IF(I711="","",IF(F711="Address issue",0,COUNTIF($I$2:$I$1001,"address issue"))+COUNTIFS($I$2:$I$1001,"?*",$F$2:$F$1001,IF(F711="Address issue","Address issue","&lt;&gt;Address issue"),$H$2:$H$1001,"&gt;"&amp;H711)+1)</f>
        <v/>
      </c>
    </row>
    <row r="712">
      <c r="A712" s="11" t="n">
        <v>100711</v>
      </c>
      <c r="B712" s="11" t="inlineStr">
        <is>
          <t>Мексика</t>
        </is>
      </c>
      <c r="C712" s="11" t="inlineStr">
        <is>
          <t>AndesCargo</t>
        </is>
      </c>
      <c r="D712" s="11" t="inlineStr">
        <is>
          <t>AC57491119</t>
        </is>
      </c>
      <c r="E712" s="12" t="n">
        <v>46289</v>
      </c>
      <c r="F712" s="11" t="inlineStr">
        <is>
          <t>Delivered</t>
        </is>
      </c>
      <c r="G712" s="12" t="n">
        <v>46295</v>
      </c>
      <c r="H712" s="5">
        <f>IF(G712="","",Rules!$B$1-G712)</f>
        <v/>
      </c>
      <c r="I712" s="5">
        <f>IF(F712="Address issue","address issue",IF(OR(F712="Delivered",F712="Returned to sender",G712=""),"",IF(AND(Rules!$B$3&lt;&gt;"",F712="Held at customs",H712&gt;=Rules!$B$3),"customs &gt;= "&amp;Rules!$B$3&amp;" days",IF(H712&gt;=Rules!$B$2,"idle &gt;= "&amp;Rules!$B$2&amp;" days",""))))</f>
        <v/>
      </c>
      <c r="J712" s="5">
        <f>IF(I712="","",IF(F712="Address issue",0,COUNTIF($I$2:$I$1001,"address issue"))+COUNTIFS($I$2:$I$1001,"?*",$F$2:$F$1001,IF(F712="Address issue","Address issue","&lt;&gt;Address issue"),$H$2:$H$1001,"&gt;"&amp;H712)+1)</f>
        <v/>
      </c>
    </row>
    <row r="713">
      <c r="A713" s="11" t="n">
        <v>100712</v>
      </c>
      <c r="B713" s="11" t="inlineStr">
        <is>
          <t>Канада</t>
        </is>
      </c>
      <c r="C713" s="11" t="inlineStr">
        <is>
          <t>PostLink</t>
        </is>
      </c>
      <c r="D713" s="11" t="inlineStr">
        <is>
          <t>PL35407392</t>
        </is>
      </c>
      <c r="E713" s="12" t="n">
        <v>46300</v>
      </c>
      <c r="F713" s="11" t="inlineStr">
        <is>
          <t>In transit</t>
        </is>
      </c>
      <c r="G713" s="13" t="n">
        <v>46306</v>
      </c>
      <c r="H713" s="5">
        <f>IF(G713="","",Rules!$B$1-G713)</f>
        <v/>
      </c>
      <c r="I713" s="5">
        <f>IF(F713="Address issue","address issue",IF(OR(F713="Delivered",F713="Returned to sender",G713=""),"",IF(AND(Rules!$B$3&lt;&gt;"",F713="Held at customs",H713&gt;=Rules!$B$3),"customs &gt;= "&amp;Rules!$B$3&amp;" days",IF(H713&gt;=Rules!$B$2,"idle &gt;= "&amp;Rules!$B$2&amp;" days",""))))</f>
        <v/>
      </c>
      <c r="J713" s="5">
        <f>IF(I713="","",IF(F713="Address issue",0,COUNTIF($I$2:$I$1001,"address issue"))+COUNTIFS($I$2:$I$1001,"?*",$F$2:$F$1001,IF(F713="Address issue","Address issue","&lt;&gt;Address issue"),$H$2:$H$1001,"&gt;"&amp;H713)+1)</f>
        <v/>
      </c>
    </row>
    <row r="714">
      <c r="A714" s="11" t="n">
        <v>100713</v>
      </c>
      <c r="B714" s="11" t="inlineStr">
        <is>
          <t>Бразилія</t>
        </is>
      </c>
      <c r="C714" s="11" t="inlineStr">
        <is>
          <t>AndesCargo</t>
        </is>
      </c>
      <c r="D714" s="11" t="inlineStr">
        <is>
          <t>AC68026197</t>
        </is>
      </c>
      <c r="E714" s="12" t="n">
        <v>46288</v>
      </c>
      <c r="F714" s="11" t="inlineStr">
        <is>
          <t>Delivered</t>
        </is>
      </c>
      <c r="G714" s="12" t="n">
        <v>46295</v>
      </c>
      <c r="H714" s="5">
        <f>IF(G714="","",Rules!$B$1-G714)</f>
        <v/>
      </c>
      <c r="I714" s="5">
        <f>IF(F714="Address issue","address issue",IF(OR(F714="Delivered",F714="Returned to sender",G714=""),"",IF(AND(Rules!$B$3&lt;&gt;"",F714="Held at customs",H714&gt;=Rules!$B$3),"customs &gt;= "&amp;Rules!$B$3&amp;" days",IF(H714&gt;=Rules!$B$2,"idle &gt;= "&amp;Rules!$B$2&amp;" days",""))))</f>
        <v/>
      </c>
      <c r="J714" s="5">
        <f>IF(I714="","",IF(F714="Address issue",0,COUNTIF($I$2:$I$1001,"address issue"))+COUNTIFS($I$2:$I$1001,"?*",$F$2:$F$1001,IF(F714="Address issue","Address issue","&lt;&gt;Address issue"),$H$2:$H$1001,"&gt;"&amp;H714)+1)</f>
        <v/>
      </c>
    </row>
    <row r="715">
      <c r="A715" s="11" t="n">
        <v>100714</v>
      </c>
      <c r="B715" s="11" t="inlineStr">
        <is>
          <t>Мексика</t>
        </is>
      </c>
      <c r="C715" s="11" t="inlineStr">
        <is>
          <t>AndesCargo</t>
        </is>
      </c>
      <c r="D715" s="11" t="inlineStr">
        <is>
          <t>AC79301435</t>
        </is>
      </c>
      <c r="E715" s="12" t="n">
        <v>46285</v>
      </c>
      <c r="F715" s="11" t="inlineStr">
        <is>
          <t>Delivered</t>
        </is>
      </c>
      <c r="G715" s="12" t="n">
        <v>46296</v>
      </c>
      <c r="H715" s="5">
        <f>IF(G715="","",Rules!$B$1-G715)</f>
        <v/>
      </c>
      <c r="I715" s="5">
        <f>IF(F715="Address issue","address issue",IF(OR(F715="Delivered",F715="Returned to sender",G715=""),"",IF(AND(Rules!$B$3&lt;&gt;"",F715="Held at customs",H715&gt;=Rules!$B$3),"customs &gt;= "&amp;Rules!$B$3&amp;" days",IF(H715&gt;=Rules!$B$2,"idle &gt;= "&amp;Rules!$B$2&amp;" days",""))))</f>
        <v/>
      </c>
      <c r="J715" s="5">
        <f>IF(I715="","",IF(F715="Address issue",0,COUNTIF($I$2:$I$1001,"address issue"))+COUNTIFS($I$2:$I$1001,"?*",$F$2:$F$1001,IF(F715="Address issue","Address issue","&lt;&gt;Address issue"),$H$2:$H$1001,"&gt;"&amp;H715)+1)</f>
        <v/>
      </c>
    </row>
    <row r="716">
      <c r="A716" s="11" t="n">
        <v>100715</v>
      </c>
      <c r="B716" s="11" t="inlineStr">
        <is>
          <t>Канада</t>
        </is>
      </c>
      <c r="C716" s="11" t="inlineStr">
        <is>
          <t>PostLink</t>
        </is>
      </c>
      <c r="D716" s="11" t="inlineStr">
        <is>
          <t>PL30656052</t>
        </is>
      </c>
      <c r="E716" s="12" t="n">
        <v>46273</v>
      </c>
      <c r="F716" s="11" t="inlineStr">
        <is>
          <t>Delivered</t>
        </is>
      </c>
      <c r="G716" s="12" t="n">
        <v>46282</v>
      </c>
      <c r="H716" s="5">
        <f>IF(G716="","",Rules!$B$1-G716)</f>
        <v/>
      </c>
      <c r="I716" s="5">
        <f>IF(F716="Address issue","address issue",IF(OR(F716="Delivered",F716="Returned to sender",G716=""),"",IF(AND(Rules!$B$3&lt;&gt;"",F716="Held at customs",H716&gt;=Rules!$B$3),"customs &gt;= "&amp;Rules!$B$3&amp;" days",IF(H716&gt;=Rules!$B$2,"idle &gt;= "&amp;Rules!$B$2&amp;" days",""))))</f>
        <v/>
      </c>
      <c r="J716" s="5">
        <f>IF(I716="","",IF(F716="Address issue",0,COUNTIF($I$2:$I$1001,"address issue"))+COUNTIFS($I$2:$I$1001,"?*",$F$2:$F$1001,IF(F716="Address issue","Address issue","&lt;&gt;Address issue"),$H$2:$H$1001,"&gt;"&amp;H716)+1)</f>
        <v/>
      </c>
    </row>
    <row r="717">
      <c r="A717" s="11" t="n">
        <v>100716</v>
      </c>
      <c r="B717" s="11" t="inlineStr">
        <is>
          <t>Бразилія</t>
        </is>
      </c>
      <c r="C717" s="11" t="inlineStr">
        <is>
          <t>AndesCargo</t>
        </is>
      </c>
      <c r="D717" s="11" t="inlineStr">
        <is>
          <t>AC21109824</t>
        </is>
      </c>
      <c r="E717" s="12" t="n">
        <v>46280</v>
      </c>
      <c r="F717" s="11" t="inlineStr">
        <is>
          <t>Delivered</t>
        </is>
      </c>
      <c r="G717" s="12" t="n">
        <v>46286</v>
      </c>
      <c r="H717" s="5">
        <f>IF(G717="","",Rules!$B$1-G717)</f>
        <v/>
      </c>
      <c r="I717" s="5">
        <f>IF(F717="Address issue","address issue",IF(OR(F717="Delivered",F717="Returned to sender",G717=""),"",IF(AND(Rules!$B$3&lt;&gt;"",F717="Held at customs",H717&gt;=Rules!$B$3),"customs &gt;= "&amp;Rules!$B$3&amp;" days",IF(H717&gt;=Rules!$B$2,"idle &gt;= "&amp;Rules!$B$2&amp;" days",""))))</f>
        <v/>
      </c>
      <c r="J717" s="5">
        <f>IF(I717="","",IF(F717="Address issue",0,COUNTIF($I$2:$I$1001,"address issue"))+COUNTIFS($I$2:$I$1001,"?*",$F$2:$F$1001,IF(F717="Address issue","Address issue","&lt;&gt;Address issue"),$H$2:$H$1001,"&gt;"&amp;H717)+1)</f>
        <v/>
      </c>
    </row>
    <row r="718">
      <c r="A718" s="11" t="n">
        <v>100717</v>
      </c>
      <c r="B718" s="11" t="inlineStr">
        <is>
          <t>Мексика</t>
        </is>
      </c>
      <c r="C718" s="11" t="inlineStr">
        <is>
          <t>AndesCargo</t>
        </is>
      </c>
      <c r="D718" s="11" t="inlineStr">
        <is>
          <t>AC98618982</t>
        </is>
      </c>
      <c r="E718" s="12" t="n">
        <v>46283</v>
      </c>
      <c r="F718" s="11" t="inlineStr">
        <is>
          <t>Delivered</t>
        </is>
      </c>
      <c r="G718" s="12" t="n">
        <v>46291</v>
      </c>
      <c r="H718" s="5">
        <f>IF(G718="","",Rules!$B$1-G718)</f>
        <v/>
      </c>
      <c r="I718" s="5">
        <f>IF(F718="Address issue","address issue",IF(OR(F718="Delivered",F718="Returned to sender",G718=""),"",IF(AND(Rules!$B$3&lt;&gt;"",F718="Held at customs",H718&gt;=Rules!$B$3),"customs &gt;= "&amp;Rules!$B$3&amp;" days",IF(H718&gt;=Rules!$B$2,"idle &gt;= "&amp;Rules!$B$2&amp;" days",""))))</f>
        <v/>
      </c>
      <c r="J718" s="5">
        <f>IF(I718="","",IF(F718="Address issue",0,COUNTIF($I$2:$I$1001,"address issue"))+COUNTIFS($I$2:$I$1001,"?*",$F$2:$F$1001,IF(F718="Address issue","Address issue","&lt;&gt;Address issue"),$H$2:$H$1001,"&gt;"&amp;H718)+1)</f>
        <v/>
      </c>
    </row>
    <row r="719">
      <c r="A719" s="11" t="n">
        <v>100718</v>
      </c>
      <c r="B719" s="11" t="inlineStr">
        <is>
          <t>Мексика</t>
        </is>
      </c>
      <c r="C719" s="11" t="inlineStr">
        <is>
          <t>AndesCargo</t>
        </is>
      </c>
      <c r="D719" s="11" t="inlineStr">
        <is>
          <t>AC31295456</t>
        </is>
      </c>
      <c r="E719" s="12" t="n">
        <v>46295</v>
      </c>
      <c r="F719" s="11" t="inlineStr">
        <is>
          <t>Address issue</t>
        </is>
      </c>
      <c r="G719" s="12" t="n">
        <v>46301</v>
      </c>
      <c r="H719" s="5">
        <f>IF(G719="","",Rules!$B$1-G719)</f>
        <v/>
      </c>
      <c r="I719" s="5">
        <f>IF(F719="Address issue","address issue",IF(OR(F719="Delivered",F719="Returned to sender",G719=""),"",IF(AND(Rules!$B$3&lt;&gt;"",F719="Held at customs",H719&gt;=Rules!$B$3),"customs &gt;= "&amp;Rules!$B$3&amp;" days",IF(H719&gt;=Rules!$B$2,"idle &gt;= "&amp;Rules!$B$2&amp;" days",""))))</f>
        <v/>
      </c>
      <c r="J719" s="5">
        <f>IF(I719="","",IF(F719="Address issue",0,COUNTIF($I$2:$I$1001,"address issue"))+COUNTIFS($I$2:$I$1001,"?*",$F$2:$F$1001,IF(F719="Address issue","Address issue","&lt;&gt;Address issue"),$H$2:$H$1001,"&gt;"&amp;H719)+1)</f>
        <v/>
      </c>
    </row>
    <row r="720">
      <c r="A720" s="11" t="n">
        <v>100719</v>
      </c>
      <c r="B720" s="11" t="inlineStr">
        <is>
          <t>Бразилія</t>
        </is>
      </c>
      <c r="C720" s="11" t="inlineStr">
        <is>
          <t>AndesCargo</t>
        </is>
      </c>
      <c r="D720" s="11" t="inlineStr">
        <is>
          <t>AC49355492</t>
        </is>
      </c>
      <c r="E720" s="12" t="n">
        <v>46302</v>
      </c>
      <c r="F720" s="11" t="inlineStr">
        <is>
          <t>Delivered</t>
        </is>
      </c>
      <c r="G720" s="13" t="n">
        <v>46308</v>
      </c>
      <c r="H720" s="5">
        <f>IF(G720="","",Rules!$B$1-G720)</f>
        <v/>
      </c>
      <c r="I720" s="5">
        <f>IF(F720="Address issue","address issue",IF(OR(F720="Delivered",F720="Returned to sender",G720=""),"",IF(AND(Rules!$B$3&lt;&gt;"",F720="Held at customs",H720&gt;=Rules!$B$3),"customs &gt;= "&amp;Rules!$B$3&amp;" days",IF(H720&gt;=Rules!$B$2,"idle &gt;= "&amp;Rules!$B$2&amp;" days",""))))</f>
        <v/>
      </c>
      <c r="J720" s="5">
        <f>IF(I720="","",IF(F720="Address issue",0,COUNTIF($I$2:$I$1001,"address issue"))+COUNTIFS($I$2:$I$1001,"?*",$F$2:$F$1001,IF(F720="Address issue","Address issue","&lt;&gt;Address issue"),$H$2:$H$1001,"&gt;"&amp;H720)+1)</f>
        <v/>
      </c>
    </row>
    <row r="721">
      <c r="A721" s="11" t="n">
        <v>100720</v>
      </c>
      <c r="B721" s="11" t="inlineStr">
        <is>
          <t>Мексика</t>
        </is>
      </c>
      <c r="C721" s="11" t="inlineStr">
        <is>
          <t>AndesCargo</t>
        </is>
      </c>
      <c r="D721" s="11" t="inlineStr">
        <is>
          <t>AC85838157</t>
        </is>
      </c>
      <c r="E721" s="12" t="n">
        <v>46295</v>
      </c>
      <c r="F721" s="11" t="inlineStr">
        <is>
          <t>Label created</t>
        </is>
      </c>
      <c r="G721" s="12" t="n">
        <v>46295</v>
      </c>
      <c r="H721" s="5">
        <f>IF(G721="","",Rules!$B$1-G721)</f>
        <v/>
      </c>
      <c r="I721" s="5">
        <f>IF(F721="Address issue","address issue",IF(OR(F721="Delivered",F721="Returned to sender",G721=""),"",IF(AND(Rules!$B$3&lt;&gt;"",F721="Held at customs",H721&gt;=Rules!$B$3),"customs &gt;= "&amp;Rules!$B$3&amp;" days",IF(H721&gt;=Rules!$B$2,"idle &gt;= "&amp;Rules!$B$2&amp;" days",""))))</f>
        <v/>
      </c>
      <c r="J721" s="5">
        <f>IF(I721="","",IF(F721="Address issue",0,COUNTIF($I$2:$I$1001,"address issue"))+COUNTIFS($I$2:$I$1001,"?*",$F$2:$F$1001,IF(F721="Address issue","Address issue","&lt;&gt;Address issue"),$H$2:$H$1001,"&gt;"&amp;H721)+1)</f>
        <v/>
      </c>
    </row>
    <row r="722">
      <c r="A722" s="11" t="n">
        <v>100721</v>
      </c>
      <c r="B722" s="11" t="inlineStr">
        <is>
          <t>Мексика</t>
        </is>
      </c>
      <c r="C722" s="11" t="inlineStr">
        <is>
          <t>AndesCargo</t>
        </is>
      </c>
      <c r="D722" s="11" t="inlineStr">
        <is>
          <t>AC80244047</t>
        </is>
      </c>
      <c r="E722" s="12" t="n">
        <v>46290</v>
      </c>
      <c r="F722" s="11" t="inlineStr">
        <is>
          <t>Delivered</t>
        </is>
      </c>
      <c r="G722" s="12" t="n">
        <v>46298</v>
      </c>
      <c r="H722" s="5">
        <f>IF(G722="","",Rules!$B$1-G722)</f>
        <v/>
      </c>
      <c r="I722" s="5">
        <f>IF(F722="Address issue","address issue",IF(OR(F722="Delivered",F722="Returned to sender",G722=""),"",IF(AND(Rules!$B$3&lt;&gt;"",F722="Held at customs",H722&gt;=Rules!$B$3),"customs &gt;= "&amp;Rules!$B$3&amp;" days",IF(H722&gt;=Rules!$B$2,"idle &gt;= "&amp;Rules!$B$2&amp;" days",""))))</f>
        <v/>
      </c>
      <c r="J722" s="5">
        <f>IF(I722="","",IF(F722="Address issue",0,COUNTIF($I$2:$I$1001,"address issue"))+COUNTIFS($I$2:$I$1001,"?*",$F$2:$F$1001,IF(F722="Address issue","Address issue","&lt;&gt;Address issue"),$H$2:$H$1001,"&gt;"&amp;H722)+1)</f>
        <v/>
      </c>
    </row>
    <row r="723">
      <c r="A723" s="11" t="n">
        <v>100722</v>
      </c>
      <c r="B723" s="11" t="inlineStr">
        <is>
          <t>Канада</t>
        </is>
      </c>
      <c r="C723" s="11" t="inlineStr">
        <is>
          <t>PostLink</t>
        </is>
      </c>
      <c r="D723" s="11" t="inlineStr">
        <is>
          <t>PL29129557</t>
        </is>
      </c>
      <c r="E723" s="12" t="n">
        <v>46290</v>
      </c>
      <c r="F723" s="11" t="inlineStr">
        <is>
          <t>Delivered</t>
        </is>
      </c>
      <c r="G723" s="12" t="n">
        <v>46295</v>
      </c>
      <c r="H723" s="5">
        <f>IF(G723="","",Rules!$B$1-G723)</f>
        <v/>
      </c>
      <c r="I723" s="5">
        <f>IF(F723="Address issue","address issue",IF(OR(F723="Delivered",F723="Returned to sender",G723=""),"",IF(AND(Rules!$B$3&lt;&gt;"",F723="Held at customs",H723&gt;=Rules!$B$3),"customs &gt;= "&amp;Rules!$B$3&amp;" days",IF(H723&gt;=Rules!$B$2,"idle &gt;= "&amp;Rules!$B$2&amp;" days",""))))</f>
        <v/>
      </c>
      <c r="J723" s="5">
        <f>IF(I723="","",IF(F723="Address issue",0,COUNTIF($I$2:$I$1001,"address issue"))+COUNTIFS($I$2:$I$1001,"?*",$F$2:$F$1001,IF(F723="Address issue","Address issue","&lt;&gt;Address issue"),$H$2:$H$1001,"&gt;"&amp;H723)+1)</f>
        <v/>
      </c>
    </row>
    <row r="724">
      <c r="A724" s="11" t="n">
        <v>100723</v>
      </c>
      <c r="B724" s="11" t="inlineStr">
        <is>
          <t>Бразилія</t>
        </is>
      </c>
      <c r="C724" s="11" t="inlineStr">
        <is>
          <t>SwiftParcel</t>
        </is>
      </c>
      <c r="D724" s="11" t="inlineStr">
        <is>
          <t>SP4480045</t>
        </is>
      </c>
      <c r="E724" s="12" t="n">
        <v>46285</v>
      </c>
      <c r="F724" s="11" t="inlineStr">
        <is>
          <t>Delivered</t>
        </is>
      </c>
      <c r="G724" s="12" t="n">
        <v>46290</v>
      </c>
      <c r="H724" s="5">
        <f>IF(G724="","",Rules!$B$1-G724)</f>
        <v/>
      </c>
      <c r="I724" s="5">
        <f>IF(F724="Address issue","address issue",IF(OR(F724="Delivered",F724="Returned to sender",G724=""),"",IF(AND(Rules!$B$3&lt;&gt;"",F724="Held at customs",H724&gt;=Rules!$B$3),"customs &gt;= "&amp;Rules!$B$3&amp;" days",IF(H724&gt;=Rules!$B$2,"idle &gt;= "&amp;Rules!$B$2&amp;" days",""))))</f>
        <v/>
      </c>
      <c r="J724" s="5">
        <f>IF(I724="","",IF(F724="Address issue",0,COUNTIF($I$2:$I$1001,"address issue"))+COUNTIFS($I$2:$I$1001,"?*",$F$2:$F$1001,IF(F724="Address issue","Address issue","&lt;&gt;Address issue"),$H$2:$H$1001,"&gt;"&amp;H724)+1)</f>
        <v/>
      </c>
    </row>
    <row r="725">
      <c r="A725" s="11" t="n">
        <v>100724</v>
      </c>
      <c r="B725" s="11" t="inlineStr">
        <is>
          <t>Канада</t>
        </is>
      </c>
      <c r="C725" s="11" t="inlineStr">
        <is>
          <t>PostLink</t>
        </is>
      </c>
      <c r="D725" s="11" t="inlineStr">
        <is>
          <t>PL28526333</t>
        </is>
      </c>
      <c r="E725" s="12" t="n">
        <v>46293</v>
      </c>
      <c r="F725" s="11" t="inlineStr">
        <is>
          <t>Delivered</t>
        </is>
      </c>
      <c r="G725" s="12" t="n">
        <v>46303</v>
      </c>
      <c r="H725" s="5">
        <f>IF(G725="","",Rules!$B$1-G725)</f>
        <v/>
      </c>
      <c r="I725" s="5">
        <f>IF(F725="Address issue","address issue",IF(OR(F725="Delivered",F725="Returned to sender",G725=""),"",IF(AND(Rules!$B$3&lt;&gt;"",F725="Held at customs",H725&gt;=Rules!$B$3),"customs &gt;= "&amp;Rules!$B$3&amp;" days",IF(H725&gt;=Rules!$B$2,"idle &gt;= "&amp;Rules!$B$2&amp;" days",""))))</f>
        <v/>
      </c>
      <c r="J725" s="5">
        <f>IF(I725="","",IF(F725="Address issue",0,COUNTIF($I$2:$I$1001,"address issue"))+COUNTIFS($I$2:$I$1001,"?*",$F$2:$F$1001,IF(F725="Address issue","Address issue","&lt;&gt;Address issue"),$H$2:$H$1001,"&gt;"&amp;H725)+1)</f>
        <v/>
      </c>
    </row>
    <row r="726">
      <c r="A726" s="11" t="n">
        <v>100725</v>
      </c>
      <c r="B726" s="11" t="inlineStr">
        <is>
          <t>Мексика</t>
        </is>
      </c>
      <c r="C726" s="11" t="inlineStr">
        <is>
          <t>AndesCargo</t>
        </is>
      </c>
      <c r="D726" s="11" t="inlineStr">
        <is>
          <t>AC62927057</t>
        </is>
      </c>
      <c r="E726" s="12" t="n">
        <v>46284</v>
      </c>
      <c r="F726" s="11" t="inlineStr">
        <is>
          <t>Delivered</t>
        </is>
      </c>
      <c r="G726" s="12" t="n">
        <v>46293</v>
      </c>
      <c r="H726" s="5">
        <f>IF(G726="","",Rules!$B$1-G726)</f>
        <v/>
      </c>
      <c r="I726" s="5">
        <f>IF(F726="Address issue","address issue",IF(OR(F726="Delivered",F726="Returned to sender",G726=""),"",IF(AND(Rules!$B$3&lt;&gt;"",F726="Held at customs",H726&gt;=Rules!$B$3),"customs &gt;= "&amp;Rules!$B$3&amp;" days",IF(H726&gt;=Rules!$B$2,"idle &gt;= "&amp;Rules!$B$2&amp;" days",""))))</f>
        <v/>
      </c>
      <c r="J726" s="5">
        <f>IF(I726="","",IF(F726="Address issue",0,COUNTIF($I$2:$I$1001,"address issue"))+COUNTIFS($I$2:$I$1001,"?*",$F$2:$F$1001,IF(F726="Address issue","Address issue","&lt;&gt;Address issue"),$H$2:$H$1001,"&gt;"&amp;H726)+1)</f>
        <v/>
      </c>
    </row>
    <row r="727">
      <c r="A727" s="11" t="n">
        <v>100726</v>
      </c>
      <c r="B727" s="11" t="inlineStr">
        <is>
          <t>Бразилія</t>
        </is>
      </c>
      <c r="C727" s="11" t="inlineStr">
        <is>
          <t>SwiftParcel</t>
        </is>
      </c>
      <c r="D727" s="11" t="inlineStr">
        <is>
          <t>SP8895199</t>
        </is>
      </c>
      <c r="E727" s="12" t="n">
        <v>46298</v>
      </c>
      <c r="F727" s="11" t="inlineStr">
        <is>
          <t>In transit</t>
        </is>
      </c>
      <c r="G727" s="13" t="n">
        <v>46305</v>
      </c>
      <c r="H727" s="5">
        <f>IF(G727="","",Rules!$B$1-G727)</f>
        <v/>
      </c>
      <c r="I727" s="5">
        <f>IF(F727="Address issue","address issue",IF(OR(F727="Delivered",F727="Returned to sender",G727=""),"",IF(AND(Rules!$B$3&lt;&gt;"",F727="Held at customs",H727&gt;=Rules!$B$3),"customs &gt;= "&amp;Rules!$B$3&amp;" days",IF(H727&gt;=Rules!$B$2,"idle &gt;= "&amp;Rules!$B$2&amp;" days",""))))</f>
        <v/>
      </c>
      <c r="J727" s="5">
        <f>IF(I727="","",IF(F727="Address issue",0,COUNTIF($I$2:$I$1001,"address issue"))+COUNTIFS($I$2:$I$1001,"?*",$F$2:$F$1001,IF(F727="Address issue","Address issue","&lt;&gt;Address issue"),$H$2:$H$1001,"&gt;"&amp;H727)+1)</f>
        <v/>
      </c>
    </row>
    <row r="728">
      <c r="A728" s="11" t="n">
        <v>100727</v>
      </c>
      <c r="B728" s="11" t="inlineStr">
        <is>
          <t>Бразилія</t>
        </is>
      </c>
      <c r="C728" s="11" t="inlineStr">
        <is>
          <t>SwiftParcel</t>
        </is>
      </c>
      <c r="D728" s="11" t="inlineStr">
        <is>
          <t>SP7342106</t>
        </is>
      </c>
      <c r="E728" s="12" t="n">
        <v>46283</v>
      </c>
      <c r="F728" s="11" t="inlineStr">
        <is>
          <t>Delivered</t>
        </is>
      </c>
      <c r="G728" s="12" t="n">
        <v>46289</v>
      </c>
      <c r="H728" s="5">
        <f>IF(G728="","",Rules!$B$1-G728)</f>
        <v/>
      </c>
      <c r="I728" s="5">
        <f>IF(F728="Address issue","address issue",IF(OR(F728="Delivered",F728="Returned to sender",G728=""),"",IF(AND(Rules!$B$3&lt;&gt;"",F728="Held at customs",H728&gt;=Rules!$B$3),"customs &gt;= "&amp;Rules!$B$3&amp;" days",IF(H728&gt;=Rules!$B$2,"idle &gt;= "&amp;Rules!$B$2&amp;" days",""))))</f>
        <v/>
      </c>
      <c r="J728" s="5">
        <f>IF(I728="","",IF(F728="Address issue",0,COUNTIF($I$2:$I$1001,"address issue"))+COUNTIFS($I$2:$I$1001,"?*",$F$2:$F$1001,IF(F728="Address issue","Address issue","&lt;&gt;Address issue"),$H$2:$H$1001,"&gt;"&amp;H728)+1)</f>
        <v/>
      </c>
    </row>
    <row r="729">
      <c r="A729" s="11" t="n">
        <v>100728</v>
      </c>
      <c r="B729" s="11" t="inlineStr">
        <is>
          <t>Мексика</t>
        </is>
      </c>
      <c r="C729" s="11" t="inlineStr">
        <is>
          <t>AndesCargo</t>
        </is>
      </c>
      <c r="D729" s="11" t="inlineStr">
        <is>
          <t>AC69075892</t>
        </is>
      </c>
      <c r="E729" s="12" t="n">
        <v>46298</v>
      </c>
      <c r="F729" s="11" t="inlineStr">
        <is>
          <t>Address issue</t>
        </is>
      </c>
      <c r="G729" s="12" t="n">
        <v>46301</v>
      </c>
      <c r="H729" s="5">
        <f>IF(G729="","",Rules!$B$1-G729)</f>
        <v/>
      </c>
      <c r="I729" s="5">
        <f>IF(F729="Address issue","address issue",IF(OR(F729="Delivered",F729="Returned to sender",G729=""),"",IF(AND(Rules!$B$3&lt;&gt;"",F729="Held at customs",H729&gt;=Rules!$B$3),"customs &gt;= "&amp;Rules!$B$3&amp;" days",IF(H729&gt;=Rules!$B$2,"idle &gt;= "&amp;Rules!$B$2&amp;" days",""))))</f>
        <v/>
      </c>
      <c r="J729" s="5">
        <f>IF(I729="","",IF(F729="Address issue",0,COUNTIF($I$2:$I$1001,"address issue"))+COUNTIFS($I$2:$I$1001,"?*",$F$2:$F$1001,IF(F729="Address issue","Address issue","&lt;&gt;Address issue"),$H$2:$H$1001,"&gt;"&amp;H729)+1)</f>
        <v/>
      </c>
    </row>
    <row r="730">
      <c r="A730" s="11" t="n">
        <v>100729</v>
      </c>
      <c r="B730" s="11" t="inlineStr">
        <is>
          <t>Канада</t>
        </is>
      </c>
      <c r="C730" s="11" t="inlineStr">
        <is>
          <t>PostLink</t>
        </is>
      </c>
      <c r="D730" s="11" t="inlineStr">
        <is>
          <t>PL56642559</t>
        </is>
      </c>
      <c r="E730" s="12" t="n">
        <v>46304</v>
      </c>
      <c r="F730" s="11" t="inlineStr">
        <is>
          <t>Out for delivery</t>
        </is>
      </c>
      <c r="G730" s="13" t="n">
        <v>46305</v>
      </c>
      <c r="H730" s="5">
        <f>IF(G730="","",Rules!$B$1-G730)</f>
        <v/>
      </c>
      <c r="I730" s="5">
        <f>IF(F730="Address issue","address issue",IF(OR(F730="Delivered",F730="Returned to sender",G730=""),"",IF(AND(Rules!$B$3&lt;&gt;"",F730="Held at customs",H730&gt;=Rules!$B$3),"customs &gt;= "&amp;Rules!$B$3&amp;" days",IF(H730&gt;=Rules!$B$2,"idle &gt;= "&amp;Rules!$B$2&amp;" days",""))))</f>
        <v/>
      </c>
      <c r="J730" s="5">
        <f>IF(I730="","",IF(F730="Address issue",0,COUNTIF($I$2:$I$1001,"address issue"))+COUNTIFS($I$2:$I$1001,"?*",$F$2:$F$1001,IF(F730="Address issue","Address issue","&lt;&gt;Address issue"),$H$2:$H$1001,"&gt;"&amp;H730)+1)</f>
        <v/>
      </c>
    </row>
    <row r="731">
      <c r="A731" s="11" t="n">
        <v>100730</v>
      </c>
      <c r="B731" s="11" t="inlineStr">
        <is>
          <t>Мексика</t>
        </is>
      </c>
      <c r="C731" s="11" t="inlineStr">
        <is>
          <t>SwiftParcel</t>
        </is>
      </c>
      <c r="D731" s="11" t="inlineStr">
        <is>
          <t>SP6549746</t>
        </is>
      </c>
      <c r="E731" s="12" t="n">
        <v>46283</v>
      </c>
      <c r="F731" s="11" t="inlineStr">
        <is>
          <t>In transit</t>
        </is>
      </c>
      <c r="G731" s="12" t="n">
        <v>46291</v>
      </c>
      <c r="H731" s="5">
        <f>IF(G731="","",Rules!$B$1-G731)</f>
        <v/>
      </c>
      <c r="I731" s="5">
        <f>IF(F731="Address issue","address issue",IF(OR(F731="Delivered",F731="Returned to sender",G731=""),"",IF(AND(Rules!$B$3&lt;&gt;"",F731="Held at customs",H731&gt;=Rules!$B$3),"customs &gt;= "&amp;Rules!$B$3&amp;" days",IF(H731&gt;=Rules!$B$2,"idle &gt;= "&amp;Rules!$B$2&amp;" days",""))))</f>
        <v/>
      </c>
      <c r="J731" s="5">
        <f>IF(I731="","",IF(F731="Address issue",0,COUNTIF($I$2:$I$1001,"address issue"))+COUNTIFS($I$2:$I$1001,"?*",$F$2:$F$1001,IF(F731="Address issue","Address issue","&lt;&gt;Address issue"),$H$2:$H$1001,"&gt;"&amp;H731)+1)</f>
        <v/>
      </c>
    </row>
    <row r="732">
      <c r="A732" s="11" t="n">
        <v>100731</v>
      </c>
      <c r="B732" s="11" t="inlineStr">
        <is>
          <t>Бразилія</t>
        </is>
      </c>
      <c r="C732" s="11" t="inlineStr">
        <is>
          <t>SwiftParcel</t>
        </is>
      </c>
      <c r="D732" s="11" t="inlineStr">
        <is>
          <t>SP2226877</t>
        </is>
      </c>
      <c r="E732" s="12" t="n">
        <v>46303</v>
      </c>
      <c r="F732" s="11" t="inlineStr">
        <is>
          <t>In transit</t>
        </is>
      </c>
      <c r="G732" s="13" t="n">
        <v>46310</v>
      </c>
      <c r="H732" s="5">
        <f>IF(G732="","",Rules!$B$1-G732)</f>
        <v/>
      </c>
      <c r="I732" s="5">
        <f>IF(F732="Address issue","address issue",IF(OR(F732="Delivered",F732="Returned to sender",G732=""),"",IF(AND(Rules!$B$3&lt;&gt;"",F732="Held at customs",H732&gt;=Rules!$B$3),"customs &gt;= "&amp;Rules!$B$3&amp;" days",IF(H732&gt;=Rules!$B$2,"idle &gt;= "&amp;Rules!$B$2&amp;" days",""))))</f>
        <v/>
      </c>
      <c r="J732" s="5">
        <f>IF(I732="","",IF(F732="Address issue",0,COUNTIF($I$2:$I$1001,"address issue"))+COUNTIFS($I$2:$I$1001,"?*",$F$2:$F$1001,IF(F732="Address issue","Address issue","&lt;&gt;Address issue"),$H$2:$H$1001,"&gt;"&amp;H732)+1)</f>
        <v/>
      </c>
    </row>
    <row r="733">
      <c r="A733" s="11" t="n">
        <v>100732</v>
      </c>
      <c r="B733" s="11" t="inlineStr">
        <is>
          <t>Мексика</t>
        </is>
      </c>
      <c r="C733" s="11" t="inlineStr">
        <is>
          <t>AndesCargo</t>
        </is>
      </c>
      <c r="D733" s="11" t="inlineStr">
        <is>
          <t>AC21719819</t>
        </is>
      </c>
      <c r="E733" s="12" t="n">
        <v>46297</v>
      </c>
      <c r="F733" s="11" t="inlineStr">
        <is>
          <t>Held at customs</t>
        </is>
      </c>
      <c r="G733" s="12" t="n">
        <v>46299</v>
      </c>
      <c r="H733" s="5">
        <f>IF(G733="","",Rules!$B$1-G733)</f>
        <v/>
      </c>
      <c r="I733" s="5">
        <f>IF(F733="Address issue","address issue",IF(OR(F733="Delivered",F733="Returned to sender",G733=""),"",IF(AND(Rules!$B$3&lt;&gt;"",F733="Held at customs",H733&gt;=Rules!$B$3),"customs &gt;= "&amp;Rules!$B$3&amp;" days",IF(H733&gt;=Rules!$B$2,"idle &gt;= "&amp;Rules!$B$2&amp;" days",""))))</f>
        <v/>
      </c>
      <c r="J733" s="5">
        <f>IF(I733="","",IF(F733="Address issue",0,COUNTIF($I$2:$I$1001,"address issue"))+COUNTIFS($I$2:$I$1001,"?*",$F$2:$F$1001,IF(F733="Address issue","Address issue","&lt;&gt;Address issue"),$H$2:$H$1001,"&gt;"&amp;H733)+1)</f>
        <v/>
      </c>
    </row>
    <row r="734">
      <c r="A734" s="11" t="n">
        <v>100733</v>
      </c>
      <c r="B734" s="11" t="inlineStr">
        <is>
          <t>Мексика</t>
        </is>
      </c>
      <c r="C734" s="11" t="inlineStr">
        <is>
          <t>SwiftParcel</t>
        </is>
      </c>
      <c r="D734" s="11" t="inlineStr">
        <is>
          <t>SP4496203</t>
        </is>
      </c>
      <c r="E734" s="12" t="n">
        <v>46299</v>
      </c>
      <c r="F734" s="11" t="inlineStr">
        <is>
          <t>Delivered</t>
        </is>
      </c>
      <c r="G734" s="12" t="n">
        <v>46302</v>
      </c>
      <c r="H734" s="5">
        <f>IF(G734="","",Rules!$B$1-G734)</f>
        <v/>
      </c>
      <c r="I734" s="5">
        <f>IF(F734="Address issue","address issue",IF(OR(F734="Delivered",F734="Returned to sender",G734=""),"",IF(AND(Rules!$B$3&lt;&gt;"",F734="Held at customs",H734&gt;=Rules!$B$3),"customs &gt;= "&amp;Rules!$B$3&amp;" days",IF(H734&gt;=Rules!$B$2,"idle &gt;= "&amp;Rules!$B$2&amp;" days",""))))</f>
        <v/>
      </c>
      <c r="J734" s="5">
        <f>IF(I734="","",IF(F734="Address issue",0,COUNTIF($I$2:$I$1001,"address issue"))+COUNTIFS($I$2:$I$1001,"?*",$F$2:$F$1001,IF(F734="Address issue","Address issue","&lt;&gt;Address issue"),$H$2:$H$1001,"&gt;"&amp;H734)+1)</f>
        <v/>
      </c>
    </row>
    <row r="735">
      <c r="A735" s="11" t="n">
        <v>100734</v>
      </c>
      <c r="B735" s="11" t="inlineStr">
        <is>
          <t>Мексика</t>
        </is>
      </c>
      <c r="C735" s="11" t="inlineStr">
        <is>
          <t>SwiftParcel</t>
        </is>
      </c>
      <c r="D735" s="11" t="inlineStr">
        <is>
          <t>SP6962906</t>
        </is>
      </c>
      <c r="E735" s="12" t="n">
        <v>46282</v>
      </c>
      <c r="F735" s="11" t="inlineStr">
        <is>
          <t>Delivered</t>
        </is>
      </c>
      <c r="G735" s="12" t="n">
        <v>46289</v>
      </c>
      <c r="H735" s="5">
        <f>IF(G735="","",Rules!$B$1-G735)</f>
        <v/>
      </c>
      <c r="I735" s="5">
        <f>IF(F735="Address issue","address issue",IF(OR(F735="Delivered",F735="Returned to sender",G735=""),"",IF(AND(Rules!$B$3&lt;&gt;"",F735="Held at customs",H735&gt;=Rules!$B$3),"customs &gt;= "&amp;Rules!$B$3&amp;" days",IF(H735&gt;=Rules!$B$2,"idle &gt;= "&amp;Rules!$B$2&amp;" days",""))))</f>
        <v/>
      </c>
      <c r="J735" s="5">
        <f>IF(I735="","",IF(F735="Address issue",0,COUNTIF($I$2:$I$1001,"address issue"))+COUNTIFS($I$2:$I$1001,"?*",$F$2:$F$1001,IF(F735="Address issue","Address issue","&lt;&gt;Address issue"),$H$2:$H$1001,"&gt;"&amp;H735)+1)</f>
        <v/>
      </c>
    </row>
    <row r="736">
      <c r="A736" s="11" t="n">
        <v>100735</v>
      </c>
      <c r="B736" s="11" t="inlineStr">
        <is>
          <t>Бразилія</t>
        </is>
      </c>
      <c r="C736" s="11" t="inlineStr">
        <is>
          <t>SwiftParcel</t>
        </is>
      </c>
      <c r="D736" s="11" t="inlineStr">
        <is>
          <t>SP2934103</t>
        </is>
      </c>
      <c r="E736" s="12" t="n">
        <v>46296</v>
      </c>
      <c r="F736" s="11" t="inlineStr">
        <is>
          <t>In transit</t>
        </is>
      </c>
      <c r="G736" s="12" t="n">
        <v>46302</v>
      </c>
      <c r="H736" s="5">
        <f>IF(G736="","",Rules!$B$1-G736)</f>
        <v/>
      </c>
      <c r="I736" s="5">
        <f>IF(F736="Address issue","address issue",IF(OR(F736="Delivered",F736="Returned to sender",G736=""),"",IF(AND(Rules!$B$3&lt;&gt;"",F736="Held at customs",H736&gt;=Rules!$B$3),"customs &gt;= "&amp;Rules!$B$3&amp;" days",IF(H736&gt;=Rules!$B$2,"idle &gt;= "&amp;Rules!$B$2&amp;" days",""))))</f>
        <v/>
      </c>
      <c r="J736" s="5">
        <f>IF(I736="","",IF(F736="Address issue",0,COUNTIF($I$2:$I$1001,"address issue"))+COUNTIFS($I$2:$I$1001,"?*",$F$2:$F$1001,IF(F736="Address issue","Address issue","&lt;&gt;Address issue"),$H$2:$H$1001,"&gt;"&amp;H736)+1)</f>
        <v/>
      </c>
    </row>
    <row r="737">
      <c r="A737" s="11" t="n">
        <v>100736</v>
      </c>
      <c r="B737" s="11" t="inlineStr">
        <is>
          <t>Бразилія</t>
        </is>
      </c>
      <c r="C737" s="11" t="inlineStr">
        <is>
          <t>SwiftParcel</t>
        </is>
      </c>
      <c r="D737" s="11" t="inlineStr">
        <is>
          <t>SP1172224</t>
        </is>
      </c>
      <c r="E737" s="12" t="n">
        <v>46299</v>
      </c>
      <c r="F737" s="11" t="inlineStr">
        <is>
          <t>Held at customs</t>
        </is>
      </c>
      <c r="G737" s="12" t="n">
        <v>46301</v>
      </c>
      <c r="H737" s="5">
        <f>IF(G737="","",Rules!$B$1-G737)</f>
        <v/>
      </c>
      <c r="I737" s="5">
        <f>IF(F737="Address issue","address issue",IF(OR(F737="Delivered",F737="Returned to sender",G737=""),"",IF(AND(Rules!$B$3&lt;&gt;"",F737="Held at customs",H737&gt;=Rules!$B$3),"customs &gt;= "&amp;Rules!$B$3&amp;" days",IF(H737&gt;=Rules!$B$2,"idle &gt;= "&amp;Rules!$B$2&amp;" days",""))))</f>
        <v/>
      </c>
      <c r="J737" s="5">
        <f>IF(I737="","",IF(F737="Address issue",0,COUNTIF($I$2:$I$1001,"address issue"))+COUNTIFS($I$2:$I$1001,"?*",$F$2:$F$1001,IF(F737="Address issue","Address issue","&lt;&gt;Address issue"),$H$2:$H$1001,"&gt;"&amp;H737)+1)</f>
        <v/>
      </c>
    </row>
    <row r="738">
      <c r="A738" s="11" t="n">
        <v>100737</v>
      </c>
      <c r="B738" s="11" t="inlineStr">
        <is>
          <t>Бразилія</t>
        </is>
      </c>
      <c r="C738" s="11" t="inlineStr">
        <is>
          <t>AndesCargo</t>
        </is>
      </c>
      <c r="D738" s="11" t="inlineStr">
        <is>
          <t>AC38333967</t>
        </is>
      </c>
      <c r="E738" s="12" t="n">
        <v>46285</v>
      </c>
      <c r="F738" s="11" t="inlineStr">
        <is>
          <t>Delivered</t>
        </is>
      </c>
      <c r="G738" s="12" t="n">
        <v>46297</v>
      </c>
      <c r="H738" s="5">
        <f>IF(G738="","",Rules!$B$1-G738)</f>
        <v/>
      </c>
      <c r="I738" s="5">
        <f>IF(F738="Address issue","address issue",IF(OR(F738="Delivered",F738="Returned to sender",G738=""),"",IF(AND(Rules!$B$3&lt;&gt;"",F738="Held at customs",H738&gt;=Rules!$B$3),"customs &gt;= "&amp;Rules!$B$3&amp;" days",IF(H738&gt;=Rules!$B$2,"idle &gt;= "&amp;Rules!$B$2&amp;" days",""))))</f>
        <v/>
      </c>
      <c r="J738" s="5">
        <f>IF(I738="","",IF(F738="Address issue",0,COUNTIF($I$2:$I$1001,"address issue"))+COUNTIFS($I$2:$I$1001,"?*",$F$2:$F$1001,IF(F738="Address issue","Address issue","&lt;&gt;Address issue"),$H$2:$H$1001,"&gt;"&amp;H738)+1)</f>
        <v/>
      </c>
    </row>
    <row r="739">
      <c r="A739" s="11" t="n">
        <v>100738</v>
      </c>
      <c r="B739" s="11" t="inlineStr">
        <is>
          <t>Бразилія</t>
        </is>
      </c>
      <c r="C739" s="11" t="inlineStr">
        <is>
          <t>SwiftParcel</t>
        </is>
      </c>
      <c r="D739" s="11" t="inlineStr">
        <is>
          <t>SP9619026</t>
        </is>
      </c>
      <c r="E739" s="12" t="n">
        <v>46299</v>
      </c>
      <c r="F739" s="11" t="inlineStr">
        <is>
          <t>Held at customs</t>
        </is>
      </c>
      <c r="G739" s="13" t="n">
        <v>46307</v>
      </c>
      <c r="H739" s="5">
        <f>IF(G739="","",Rules!$B$1-G739)</f>
        <v/>
      </c>
      <c r="I739" s="5">
        <f>IF(F739="Address issue","address issue",IF(OR(F739="Delivered",F739="Returned to sender",G739=""),"",IF(AND(Rules!$B$3&lt;&gt;"",F739="Held at customs",H739&gt;=Rules!$B$3),"customs &gt;= "&amp;Rules!$B$3&amp;" days",IF(H739&gt;=Rules!$B$2,"idle &gt;= "&amp;Rules!$B$2&amp;" days",""))))</f>
        <v/>
      </c>
      <c r="J739" s="5">
        <f>IF(I739="","",IF(F739="Address issue",0,COUNTIF($I$2:$I$1001,"address issue"))+COUNTIFS($I$2:$I$1001,"?*",$F$2:$F$1001,IF(F739="Address issue","Address issue","&lt;&gt;Address issue"),$H$2:$H$1001,"&gt;"&amp;H739)+1)</f>
        <v/>
      </c>
    </row>
    <row r="740">
      <c r="A740" s="11" t="n">
        <v>100739</v>
      </c>
      <c r="B740" s="11" t="inlineStr">
        <is>
          <t>Канада</t>
        </is>
      </c>
      <c r="C740" s="11" t="inlineStr">
        <is>
          <t>PostLink</t>
        </is>
      </c>
      <c r="D740" s="11" t="inlineStr">
        <is>
          <t>PL30580331</t>
        </is>
      </c>
      <c r="E740" s="12" t="n">
        <v>46303</v>
      </c>
      <c r="F740" s="11" t="inlineStr">
        <is>
          <t>In transit</t>
        </is>
      </c>
      <c r="G740" s="13" t="n">
        <v>46308</v>
      </c>
      <c r="H740" s="5">
        <f>IF(G740="","",Rules!$B$1-G740)</f>
        <v/>
      </c>
      <c r="I740" s="5">
        <f>IF(F740="Address issue","address issue",IF(OR(F740="Delivered",F740="Returned to sender",G740=""),"",IF(AND(Rules!$B$3&lt;&gt;"",F740="Held at customs",H740&gt;=Rules!$B$3),"customs &gt;= "&amp;Rules!$B$3&amp;" days",IF(H740&gt;=Rules!$B$2,"idle &gt;= "&amp;Rules!$B$2&amp;" days",""))))</f>
        <v/>
      </c>
      <c r="J740" s="5">
        <f>IF(I740="","",IF(F740="Address issue",0,COUNTIF($I$2:$I$1001,"address issue"))+COUNTIFS($I$2:$I$1001,"?*",$F$2:$F$1001,IF(F740="Address issue","Address issue","&lt;&gt;Address issue"),$H$2:$H$1001,"&gt;"&amp;H740)+1)</f>
        <v/>
      </c>
    </row>
    <row r="741">
      <c r="A741" s="11" t="n">
        <v>100740</v>
      </c>
      <c r="B741" s="11" t="inlineStr">
        <is>
          <t>Бразилія</t>
        </is>
      </c>
      <c r="C741" s="11" t="inlineStr">
        <is>
          <t>SwiftParcel</t>
        </is>
      </c>
      <c r="D741" s="11" t="inlineStr">
        <is>
          <t>SP6297311</t>
        </is>
      </c>
      <c r="E741" s="12" t="n">
        <v>46302</v>
      </c>
      <c r="F741" s="11" t="inlineStr">
        <is>
          <t>Delivered</t>
        </is>
      </c>
      <c r="G741" s="13" t="n">
        <v>46305</v>
      </c>
      <c r="H741" s="5">
        <f>IF(G741="","",Rules!$B$1-G741)</f>
        <v/>
      </c>
      <c r="I741" s="5">
        <f>IF(F741="Address issue","address issue",IF(OR(F741="Delivered",F741="Returned to sender",G741=""),"",IF(AND(Rules!$B$3&lt;&gt;"",F741="Held at customs",H741&gt;=Rules!$B$3),"customs &gt;= "&amp;Rules!$B$3&amp;" days",IF(H741&gt;=Rules!$B$2,"idle &gt;= "&amp;Rules!$B$2&amp;" days",""))))</f>
        <v/>
      </c>
      <c r="J741" s="5">
        <f>IF(I741="","",IF(F741="Address issue",0,COUNTIF($I$2:$I$1001,"address issue"))+COUNTIFS($I$2:$I$1001,"?*",$F$2:$F$1001,IF(F741="Address issue","Address issue","&lt;&gt;Address issue"),$H$2:$H$1001,"&gt;"&amp;H741)+1)</f>
        <v/>
      </c>
    </row>
    <row r="742">
      <c r="A742" s="11" t="n">
        <v>100741</v>
      </c>
      <c r="B742" s="11" t="inlineStr">
        <is>
          <t>Бразилія</t>
        </is>
      </c>
      <c r="C742" s="11" t="inlineStr">
        <is>
          <t>SwiftParcel</t>
        </is>
      </c>
      <c r="D742" s="11" t="inlineStr">
        <is>
          <t>SP5303555</t>
        </is>
      </c>
      <c r="E742" s="12" t="n">
        <v>46301</v>
      </c>
      <c r="F742" s="11" t="inlineStr">
        <is>
          <t>Delivered</t>
        </is>
      </c>
      <c r="G742" s="13" t="n">
        <v>46307</v>
      </c>
      <c r="H742" s="5">
        <f>IF(G742="","",Rules!$B$1-G742)</f>
        <v/>
      </c>
      <c r="I742" s="5">
        <f>IF(F742="Address issue","address issue",IF(OR(F742="Delivered",F742="Returned to sender",G742=""),"",IF(AND(Rules!$B$3&lt;&gt;"",F742="Held at customs",H742&gt;=Rules!$B$3),"customs &gt;= "&amp;Rules!$B$3&amp;" days",IF(H742&gt;=Rules!$B$2,"idle &gt;= "&amp;Rules!$B$2&amp;" days",""))))</f>
        <v/>
      </c>
      <c r="J742" s="5">
        <f>IF(I742="","",IF(F742="Address issue",0,COUNTIF($I$2:$I$1001,"address issue"))+COUNTIFS($I$2:$I$1001,"?*",$F$2:$F$1001,IF(F742="Address issue","Address issue","&lt;&gt;Address issue"),$H$2:$H$1001,"&gt;"&amp;H742)+1)</f>
        <v/>
      </c>
    </row>
    <row r="743">
      <c r="A743" s="11" t="n">
        <v>100742</v>
      </c>
      <c r="B743" s="11" t="inlineStr">
        <is>
          <t>Мексика</t>
        </is>
      </c>
      <c r="C743" s="11" t="inlineStr">
        <is>
          <t>SwiftParcel</t>
        </is>
      </c>
      <c r="D743" s="11" t="inlineStr">
        <is>
          <t>SP9372934</t>
        </is>
      </c>
      <c r="E743" s="12" t="n">
        <v>46295</v>
      </c>
      <c r="F743" s="11" t="inlineStr">
        <is>
          <t>Label created</t>
        </is>
      </c>
      <c r="G743" s="12" t="n">
        <v>46295</v>
      </c>
      <c r="H743" s="5">
        <f>IF(G743="","",Rules!$B$1-G743)</f>
        <v/>
      </c>
      <c r="I743" s="5">
        <f>IF(F743="Address issue","address issue",IF(OR(F743="Delivered",F743="Returned to sender",G743=""),"",IF(AND(Rules!$B$3&lt;&gt;"",F743="Held at customs",H743&gt;=Rules!$B$3),"customs &gt;= "&amp;Rules!$B$3&amp;" days",IF(H743&gt;=Rules!$B$2,"idle &gt;= "&amp;Rules!$B$2&amp;" days",""))))</f>
        <v/>
      </c>
      <c r="J743" s="5">
        <f>IF(I743="","",IF(F743="Address issue",0,COUNTIF($I$2:$I$1001,"address issue"))+COUNTIFS($I$2:$I$1001,"?*",$F$2:$F$1001,IF(F743="Address issue","Address issue","&lt;&gt;Address issue"),$H$2:$H$1001,"&gt;"&amp;H743)+1)</f>
        <v/>
      </c>
    </row>
    <row r="744">
      <c r="A744" s="11" t="n">
        <v>100743</v>
      </c>
      <c r="B744" s="11" t="inlineStr">
        <is>
          <t>Канада</t>
        </is>
      </c>
      <c r="C744" s="11" t="inlineStr">
        <is>
          <t>PostLink</t>
        </is>
      </c>
      <c r="D744" s="11" t="inlineStr">
        <is>
          <t>PL96278006</t>
        </is>
      </c>
      <c r="E744" s="12" t="n">
        <v>46298</v>
      </c>
      <c r="F744" s="11" t="inlineStr">
        <is>
          <t>Delivered</t>
        </is>
      </c>
      <c r="G744" s="12" t="n">
        <v>46301</v>
      </c>
      <c r="H744" s="5">
        <f>IF(G744="","",Rules!$B$1-G744)</f>
        <v/>
      </c>
      <c r="I744" s="5">
        <f>IF(F744="Address issue","address issue",IF(OR(F744="Delivered",F744="Returned to sender",G744=""),"",IF(AND(Rules!$B$3&lt;&gt;"",F744="Held at customs",H744&gt;=Rules!$B$3),"customs &gt;= "&amp;Rules!$B$3&amp;" days",IF(H744&gt;=Rules!$B$2,"idle &gt;= "&amp;Rules!$B$2&amp;" days",""))))</f>
        <v/>
      </c>
      <c r="J744" s="5">
        <f>IF(I744="","",IF(F744="Address issue",0,COUNTIF($I$2:$I$1001,"address issue"))+COUNTIFS($I$2:$I$1001,"?*",$F$2:$F$1001,IF(F744="Address issue","Address issue","&lt;&gt;Address issue"),$H$2:$H$1001,"&gt;"&amp;H744)+1)</f>
        <v/>
      </c>
    </row>
    <row r="745">
      <c r="A745" s="11" t="n">
        <v>100744</v>
      </c>
      <c r="B745" s="11" t="inlineStr">
        <is>
          <t>Мексика</t>
        </is>
      </c>
      <c r="C745" s="11" t="inlineStr">
        <is>
          <t>AndesCargo</t>
        </is>
      </c>
      <c r="D745" s="11" t="inlineStr">
        <is>
          <t>AC42687175</t>
        </is>
      </c>
      <c r="E745" s="12" t="n">
        <v>46284</v>
      </c>
      <c r="F745" s="11" t="inlineStr">
        <is>
          <t>Delivered</t>
        </is>
      </c>
      <c r="G745" s="12" t="n">
        <v>46289</v>
      </c>
      <c r="H745" s="5">
        <f>IF(G745="","",Rules!$B$1-G745)</f>
        <v/>
      </c>
      <c r="I745" s="5">
        <f>IF(F745="Address issue","address issue",IF(OR(F745="Delivered",F745="Returned to sender",G745=""),"",IF(AND(Rules!$B$3&lt;&gt;"",F745="Held at customs",H745&gt;=Rules!$B$3),"customs &gt;= "&amp;Rules!$B$3&amp;" days",IF(H745&gt;=Rules!$B$2,"idle &gt;= "&amp;Rules!$B$2&amp;" days",""))))</f>
        <v/>
      </c>
      <c r="J745" s="5">
        <f>IF(I745="","",IF(F745="Address issue",0,COUNTIF($I$2:$I$1001,"address issue"))+COUNTIFS($I$2:$I$1001,"?*",$F$2:$F$1001,IF(F745="Address issue","Address issue","&lt;&gt;Address issue"),$H$2:$H$1001,"&gt;"&amp;H745)+1)</f>
        <v/>
      </c>
    </row>
    <row r="746">
      <c r="A746" s="11" t="n">
        <v>100745</v>
      </c>
      <c r="B746" s="11" t="inlineStr">
        <is>
          <t>Бразилія</t>
        </is>
      </c>
      <c r="C746" s="11" t="inlineStr">
        <is>
          <t>SwiftParcel</t>
        </is>
      </c>
      <c r="D746" s="11" t="inlineStr">
        <is>
          <t>SP2128715</t>
        </is>
      </c>
      <c r="E746" s="12" t="n">
        <v>46304</v>
      </c>
      <c r="F746" s="11" t="inlineStr">
        <is>
          <t>Delivered</t>
        </is>
      </c>
      <c r="G746" s="13" t="n">
        <v>46307</v>
      </c>
      <c r="H746" s="5">
        <f>IF(G746="","",Rules!$B$1-G746)</f>
        <v/>
      </c>
      <c r="I746" s="5">
        <f>IF(F746="Address issue","address issue",IF(OR(F746="Delivered",F746="Returned to sender",G746=""),"",IF(AND(Rules!$B$3&lt;&gt;"",F746="Held at customs",H746&gt;=Rules!$B$3),"customs &gt;= "&amp;Rules!$B$3&amp;" days",IF(H746&gt;=Rules!$B$2,"idle &gt;= "&amp;Rules!$B$2&amp;" days",""))))</f>
        <v/>
      </c>
      <c r="J746" s="5">
        <f>IF(I746="","",IF(F746="Address issue",0,COUNTIF($I$2:$I$1001,"address issue"))+COUNTIFS($I$2:$I$1001,"?*",$F$2:$F$1001,IF(F746="Address issue","Address issue","&lt;&gt;Address issue"),$H$2:$H$1001,"&gt;"&amp;H746)+1)</f>
        <v/>
      </c>
    </row>
    <row r="747">
      <c r="A747" s="11" t="n">
        <v>100746</v>
      </c>
      <c r="B747" s="11" t="inlineStr">
        <is>
          <t>Мексика</t>
        </is>
      </c>
      <c r="C747" s="11" t="inlineStr">
        <is>
          <t>AndesCargo</t>
        </is>
      </c>
      <c r="D747" s="11" t="inlineStr">
        <is>
          <t>AC20823978</t>
        </is>
      </c>
      <c r="E747" s="12" t="n">
        <v>46288</v>
      </c>
      <c r="F747" s="11" t="inlineStr">
        <is>
          <t>In transit</t>
        </is>
      </c>
      <c r="G747" s="12" t="n">
        <v>46290</v>
      </c>
      <c r="H747" s="5">
        <f>IF(G747="","",Rules!$B$1-G747)</f>
        <v/>
      </c>
      <c r="I747" s="5">
        <f>IF(F747="Address issue","address issue",IF(OR(F747="Delivered",F747="Returned to sender",G747=""),"",IF(AND(Rules!$B$3&lt;&gt;"",F747="Held at customs",H747&gt;=Rules!$B$3),"customs &gt;= "&amp;Rules!$B$3&amp;" days",IF(H747&gt;=Rules!$B$2,"idle &gt;= "&amp;Rules!$B$2&amp;" days",""))))</f>
        <v/>
      </c>
      <c r="J747" s="5">
        <f>IF(I747="","",IF(F747="Address issue",0,COUNTIF($I$2:$I$1001,"address issue"))+COUNTIFS($I$2:$I$1001,"?*",$F$2:$F$1001,IF(F747="Address issue","Address issue","&lt;&gt;Address issue"),$H$2:$H$1001,"&gt;"&amp;H747)+1)</f>
        <v/>
      </c>
    </row>
    <row r="748">
      <c r="A748" s="11" t="n">
        <v>100747</v>
      </c>
      <c r="B748" s="11" t="inlineStr">
        <is>
          <t>Мексика</t>
        </is>
      </c>
      <c r="C748" s="11" t="inlineStr">
        <is>
          <t>AndesCargo</t>
        </is>
      </c>
      <c r="D748" s="11" t="inlineStr">
        <is>
          <t>AC83153871</t>
        </is>
      </c>
      <c r="E748" s="12" t="n">
        <v>46278</v>
      </c>
      <c r="F748" s="11" t="inlineStr">
        <is>
          <t>Delivered</t>
        </is>
      </c>
      <c r="G748" s="12" t="n">
        <v>46285</v>
      </c>
      <c r="H748" s="5">
        <f>IF(G748="","",Rules!$B$1-G748)</f>
        <v/>
      </c>
      <c r="I748" s="5">
        <f>IF(F748="Address issue","address issue",IF(OR(F748="Delivered",F748="Returned to sender",G748=""),"",IF(AND(Rules!$B$3&lt;&gt;"",F748="Held at customs",H748&gt;=Rules!$B$3),"customs &gt;= "&amp;Rules!$B$3&amp;" days",IF(H748&gt;=Rules!$B$2,"idle &gt;= "&amp;Rules!$B$2&amp;" days",""))))</f>
        <v/>
      </c>
      <c r="J748" s="5">
        <f>IF(I748="","",IF(F748="Address issue",0,COUNTIF($I$2:$I$1001,"address issue"))+COUNTIFS($I$2:$I$1001,"?*",$F$2:$F$1001,IF(F748="Address issue","Address issue","&lt;&gt;Address issue"),$H$2:$H$1001,"&gt;"&amp;H748)+1)</f>
        <v/>
      </c>
    </row>
    <row r="749">
      <c r="A749" s="11" t="n">
        <v>100748</v>
      </c>
      <c r="B749" s="11" t="inlineStr">
        <is>
          <t>Мексика</t>
        </is>
      </c>
      <c r="C749" s="11" t="inlineStr">
        <is>
          <t>AndesCargo</t>
        </is>
      </c>
      <c r="D749" s="11" t="inlineStr">
        <is>
          <t>AC26174705</t>
        </is>
      </c>
      <c r="E749" s="12" t="n">
        <v>46290</v>
      </c>
      <c r="F749" s="11" t="inlineStr">
        <is>
          <t>Delivered</t>
        </is>
      </c>
      <c r="G749" s="12" t="n">
        <v>46301</v>
      </c>
      <c r="H749" s="5">
        <f>IF(G749="","",Rules!$B$1-G749)</f>
        <v/>
      </c>
      <c r="I749" s="5">
        <f>IF(F749="Address issue","address issue",IF(OR(F749="Delivered",F749="Returned to sender",G749=""),"",IF(AND(Rules!$B$3&lt;&gt;"",F749="Held at customs",H749&gt;=Rules!$B$3),"customs &gt;= "&amp;Rules!$B$3&amp;" days",IF(H749&gt;=Rules!$B$2,"idle &gt;= "&amp;Rules!$B$2&amp;" days",""))))</f>
        <v/>
      </c>
      <c r="J749" s="5">
        <f>IF(I749="","",IF(F749="Address issue",0,COUNTIF($I$2:$I$1001,"address issue"))+COUNTIFS($I$2:$I$1001,"?*",$F$2:$F$1001,IF(F749="Address issue","Address issue","&lt;&gt;Address issue"),$H$2:$H$1001,"&gt;"&amp;H749)+1)</f>
        <v/>
      </c>
    </row>
    <row r="750">
      <c r="A750" s="11" t="n">
        <v>100749</v>
      </c>
      <c r="B750" s="11" t="inlineStr">
        <is>
          <t>Мексика</t>
        </is>
      </c>
      <c r="C750" s="11" t="inlineStr">
        <is>
          <t>AndesCargo</t>
        </is>
      </c>
      <c r="D750" s="11" t="inlineStr">
        <is>
          <t>AC69061754</t>
        </is>
      </c>
      <c r="E750" s="12" t="n">
        <v>46280</v>
      </c>
      <c r="F750" s="11" t="inlineStr">
        <is>
          <t>Delivered</t>
        </is>
      </c>
      <c r="G750" s="12" t="n">
        <v>46286</v>
      </c>
      <c r="H750" s="5">
        <f>IF(G750="","",Rules!$B$1-G750)</f>
        <v/>
      </c>
      <c r="I750" s="5">
        <f>IF(F750="Address issue","address issue",IF(OR(F750="Delivered",F750="Returned to sender",G750=""),"",IF(AND(Rules!$B$3&lt;&gt;"",F750="Held at customs",H750&gt;=Rules!$B$3),"customs &gt;= "&amp;Rules!$B$3&amp;" days",IF(H750&gt;=Rules!$B$2,"idle &gt;= "&amp;Rules!$B$2&amp;" days",""))))</f>
        <v/>
      </c>
      <c r="J750" s="5">
        <f>IF(I750="","",IF(F750="Address issue",0,COUNTIF($I$2:$I$1001,"address issue"))+COUNTIFS($I$2:$I$1001,"?*",$F$2:$F$1001,IF(F750="Address issue","Address issue","&lt;&gt;Address issue"),$H$2:$H$1001,"&gt;"&amp;H750)+1)</f>
        <v/>
      </c>
    </row>
    <row r="751">
      <c r="A751" s="11" t="n">
        <v>100750</v>
      </c>
      <c r="B751" s="11" t="inlineStr">
        <is>
          <t>Мексика</t>
        </is>
      </c>
      <c r="C751" s="11" t="inlineStr">
        <is>
          <t>AndesCargo</t>
        </is>
      </c>
      <c r="D751" s="11" t="inlineStr">
        <is>
          <t>AC73989023</t>
        </is>
      </c>
      <c r="E751" s="12" t="n">
        <v>46284</v>
      </c>
      <c r="F751" s="11" t="inlineStr">
        <is>
          <t>In transit</t>
        </is>
      </c>
      <c r="G751" s="12" t="n">
        <v>46291</v>
      </c>
      <c r="H751" s="5">
        <f>IF(G751="","",Rules!$B$1-G751)</f>
        <v/>
      </c>
      <c r="I751" s="5">
        <f>IF(F751="Address issue","address issue",IF(OR(F751="Delivered",F751="Returned to sender",G751=""),"",IF(AND(Rules!$B$3&lt;&gt;"",F751="Held at customs",H751&gt;=Rules!$B$3),"customs &gt;= "&amp;Rules!$B$3&amp;" days",IF(H751&gt;=Rules!$B$2,"idle &gt;= "&amp;Rules!$B$2&amp;" days",""))))</f>
        <v/>
      </c>
      <c r="J751" s="5">
        <f>IF(I751="","",IF(F751="Address issue",0,COUNTIF($I$2:$I$1001,"address issue"))+COUNTIFS($I$2:$I$1001,"?*",$F$2:$F$1001,IF(F751="Address issue","Address issue","&lt;&gt;Address issue"),$H$2:$H$1001,"&gt;"&amp;H751)+1)</f>
        <v/>
      </c>
    </row>
    <row r="752">
      <c r="A752" s="11" t="n">
        <v>100751</v>
      </c>
      <c r="B752" s="11" t="inlineStr">
        <is>
          <t>Бразилія</t>
        </is>
      </c>
      <c r="C752" s="11" t="inlineStr">
        <is>
          <t>AndesCargo</t>
        </is>
      </c>
      <c r="D752" s="11" t="inlineStr">
        <is>
          <t>AC72917341</t>
        </is>
      </c>
      <c r="E752" s="12" t="n">
        <v>46291</v>
      </c>
      <c r="F752" s="11" t="inlineStr">
        <is>
          <t>Delivered</t>
        </is>
      </c>
      <c r="G752" s="12" t="n">
        <v>46301</v>
      </c>
      <c r="H752" s="5">
        <f>IF(G752="","",Rules!$B$1-G752)</f>
        <v/>
      </c>
      <c r="I752" s="5">
        <f>IF(F752="Address issue","address issue",IF(OR(F752="Delivered",F752="Returned to sender",G752=""),"",IF(AND(Rules!$B$3&lt;&gt;"",F752="Held at customs",H752&gt;=Rules!$B$3),"customs &gt;= "&amp;Rules!$B$3&amp;" days",IF(H752&gt;=Rules!$B$2,"idle &gt;= "&amp;Rules!$B$2&amp;" days",""))))</f>
        <v/>
      </c>
      <c r="J752" s="5">
        <f>IF(I752="","",IF(F752="Address issue",0,COUNTIF($I$2:$I$1001,"address issue"))+COUNTIFS($I$2:$I$1001,"?*",$F$2:$F$1001,IF(F752="Address issue","Address issue","&lt;&gt;Address issue"),$H$2:$H$1001,"&gt;"&amp;H752)+1)</f>
        <v/>
      </c>
    </row>
    <row r="753">
      <c r="A753" s="11" t="n">
        <v>100752</v>
      </c>
      <c r="B753" s="11" t="inlineStr">
        <is>
          <t>Мексика</t>
        </is>
      </c>
      <c r="C753" s="11" t="inlineStr">
        <is>
          <t>AndesCargo</t>
        </is>
      </c>
      <c r="D753" s="11" t="inlineStr">
        <is>
          <t>AC36784190</t>
        </is>
      </c>
      <c r="E753" s="12" t="n">
        <v>46272</v>
      </c>
      <c r="F753" s="11" t="inlineStr">
        <is>
          <t>Delivered</t>
        </is>
      </c>
      <c r="G753" s="12" t="n">
        <v>46283</v>
      </c>
      <c r="H753" s="5">
        <f>IF(G753="","",Rules!$B$1-G753)</f>
        <v/>
      </c>
      <c r="I753" s="5">
        <f>IF(F753="Address issue","address issue",IF(OR(F753="Delivered",F753="Returned to sender",G753=""),"",IF(AND(Rules!$B$3&lt;&gt;"",F753="Held at customs",H753&gt;=Rules!$B$3),"customs &gt;= "&amp;Rules!$B$3&amp;" days",IF(H753&gt;=Rules!$B$2,"idle &gt;= "&amp;Rules!$B$2&amp;" days",""))))</f>
        <v/>
      </c>
      <c r="J753" s="5">
        <f>IF(I753="","",IF(F753="Address issue",0,COUNTIF($I$2:$I$1001,"address issue"))+COUNTIFS($I$2:$I$1001,"?*",$F$2:$F$1001,IF(F753="Address issue","Address issue","&lt;&gt;Address issue"),$H$2:$H$1001,"&gt;"&amp;H753)+1)</f>
        <v/>
      </c>
    </row>
    <row r="754">
      <c r="A754" s="11" t="n">
        <v>100753</v>
      </c>
      <c r="B754" s="11" t="inlineStr">
        <is>
          <t>Бразилія</t>
        </is>
      </c>
      <c r="C754" s="11" t="inlineStr">
        <is>
          <t>SwiftParcel</t>
        </is>
      </c>
      <c r="D754" s="11" t="inlineStr">
        <is>
          <t>SP4331099</t>
        </is>
      </c>
      <c r="E754" s="12" t="n">
        <v>46302</v>
      </c>
      <c r="F754" s="11" t="inlineStr">
        <is>
          <t>Out for delivery</t>
        </is>
      </c>
      <c r="G754" s="13" t="n">
        <v>46309</v>
      </c>
      <c r="H754" s="5">
        <f>IF(G754="","",Rules!$B$1-G754)</f>
        <v/>
      </c>
      <c r="I754" s="5">
        <f>IF(F754="Address issue","address issue",IF(OR(F754="Delivered",F754="Returned to sender",G754=""),"",IF(AND(Rules!$B$3&lt;&gt;"",F754="Held at customs",H754&gt;=Rules!$B$3),"customs &gt;= "&amp;Rules!$B$3&amp;" days",IF(H754&gt;=Rules!$B$2,"idle &gt;= "&amp;Rules!$B$2&amp;" days",""))))</f>
        <v/>
      </c>
      <c r="J754" s="5">
        <f>IF(I754="","",IF(F754="Address issue",0,COUNTIF($I$2:$I$1001,"address issue"))+COUNTIFS($I$2:$I$1001,"?*",$F$2:$F$1001,IF(F754="Address issue","Address issue","&lt;&gt;Address issue"),$H$2:$H$1001,"&gt;"&amp;H754)+1)</f>
        <v/>
      </c>
    </row>
    <row r="755">
      <c r="A755" s="11" t="n">
        <v>100754</v>
      </c>
      <c r="B755" s="11" t="inlineStr">
        <is>
          <t>Канада</t>
        </is>
      </c>
      <c r="C755" s="11" t="inlineStr">
        <is>
          <t>PostLink</t>
        </is>
      </c>
      <c r="D755" s="11" t="inlineStr">
        <is>
          <t>PL25428973</t>
        </is>
      </c>
      <c r="E755" s="12" t="n">
        <v>46303</v>
      </c>
      <c r="F755" s="11" t="inlineStr">
        <is>
          <t>Delivered</t>
        </is>
      </c>
      <c r="G755" s="13" t="n">
        <v>46309</v>
      </c>
      <c r="H755" s="5">
        <f>IF(G755="","",Rules!$B$1-G755)</f>
        <v/>
      </c>
      <c r="I755" s="5">
        <f>IF(F755="Address issue","address issue",IF(OR(F755="Delivered",F755="Returned to sender",G755=""),"",IF(AND(Rules!$B$3&lt;&gt;"",F755="Held at customs",H755&gt;=Rules!$B$3),"customs &gt;= "&amp;Rules!$B$3&amp;" days",IF(H755&gt;=Rules!$B$2,"idle &gt;= "&amp;Rules!$B$2&amp;" days",""))))</f>
        <v/>
      </c>
      <c r="J755" s="5">
        <f>IF(I755="","",IF(F755="Address issue",0,COUNTIF($I$2:$I$1001,"address issue"))+COUNTIFS($I$2:$I$1001,"?*",$F$2:$F$1001,IF(F755="Address issue","Address issue","&lt;&gt;Address issue"),$H$2:$H$1001,"&gt;"&amp;H755)+1)</f>
        <v/>
      </c>
    </row>
    <row r="756">
      <c r="A756" s="11" t="n">
        <v>100755</v>
      </c>
      <c r="B756" s="11" t="inlineStr">
        <is>
          <t>Мексика</t>
        </is>
      </c>
      <c r="C756" s="11" t="inlineStr">
        <is>
          <t>SwiftParcel</t>
        </is>
      </c>
      <c r="D756" s="11" t="inlineStr">
        <is>
          <t>SP8246701</t>
        </is>
      </c>
      <c r="E756" s="12" t="n">
        <v>46303</v>
      </c>
      <c r="F756" s="11" t="inlineStr">
        <is>
          <t>Delivered</t>
        </is>
      </c>
      <c r="G756" s="13" t="n">
        <v>46309</v>
      </c>
      <c r="H756" s="5">
        <f>IF(G756="","",Rules!$B$1-G756)</f>
        <v/>
      </c>
      <c r="I756" s="5">
        <f>IF(F756="Address issue","address issue",IF(OR(F756="Delivered",F756="Returned to sender",G756=""),"",IF(AND(Rules!$B$3&lt;&gt;"",F756="Held at customs",H756&gt;=Rules!$B$3),"customs &gt;= "&amp;Rules!$B$3&amp;" days",IF(H756&gt;=Rules!$B$2,"idle &gt;= "&amp;Rules!$B$2&amp;" days",""))))</f>
        <v/>
      </c>
      <c r="J756" s="5">
        <f>IF(I756="","",IF(F756="Address issue",0,COUNTIF($I$2:$I$1001,"address issue"))+COUNTIFS($I$2:$I$1001,"?*",$F$2:$F$1001,IF(F756="Address issue","Address issue","&lt;&gt;Address issue"),$H$2:$H$1001,"&gt;"&amp;H756)+1)</f>
        <v/>
      </c>
    </row>
    <row r="757">
      <c r="A757" s="11" t="n">
        <v>100756</v>
      </c>
      <c r="B757" s="11" t="inlineStr">
        <is>
          <t>Бразилія</t>
        </is>
      </c>
      <c r="C757" s="11" t="inlineStr">
        <is>
          <t>SwiftParcel</t>
        </is>
      </c>
      <c r="D757" s="11" t="inlineStr">
        <is>
          <t>SP8533882</t>
        </is>
      </c>
      <c r="E757" s="12" t="n">
        <v>46286</v>
      </c>
      <c r="F757" s="11" t="inlineStr">
        <is>
          <t>Delivered</t>
        </is>
      </c>
      <c r="G757" s="12" t="n">
        <v>46296</v>
      </c>
      <c r="H757" s="5">
        <f>IF(G757="","",Rules!$B$1-G757)</f>
        <v/>
      </c>
      <c r="I757" s="5">
        <f>IF(F757="Address issue","address issue",IF(OR(F757="Delivered",F757="Returned to sender",G757=""),"",IF(AND(Rules!$B$3&lt;&gt;"",F757="Held at customs",H757&gt;=Rules!$B$3),"customs &gt;= "&amp;Rules!$B$3&amp;" days",IF(H757&gt;=Rules!$B$2,"idle &gt;= "&amp;Rules!$B$2&amp;" days",""))))</f>
        <v/>
      </c>
      <c r="J757" s="5">
        <f>IF(I757="","",IF(F757="Address issue",0,COUNTIF($I$2:$I$1001,"address issue"))+COUNTIFS($I$2:$I$1001,"?*",$F$2:$F$1001,IF(F757="Address issue","Address issue","&lt;&gt;Address issue"),$H$2:$H$1001,"&gt;"&amp;H757)+1)</f>
        <v/>
      </c>
    </row>
    <row r="758">
      <c r="A758" s="11" t="n">
        <v>100757</v>
      </c>
      <c r="B758" s="11" t="inlineStr">
        <is>
          <t>Мексика</t>
        </is>
      </c>
      <c r="C758" s="11" t="inlineStr">
        <is>
          <t>AndesCargo</t>
        </is>
      </c>
      <c r="D758" s="11" t="inlineStr">
        <is>
          <t>AC27487450</t>
        </is>
      </c>
      <c r="E758" s="12" t="n">
        <v>46274</v>
      </c>
      <c r="F758" s="11" t="inlineStr">
        <is>
          <t>Delivered</t>
        </is>
      </c>
      <c r="G758" s="12" t="n">
        <v>46281</v>
      </c>
      <c r="H758" s="5">
        <f>IF(G758="","",Rules!$B$1-G758)</f>
        <v/>
      </c>
      <c r="I758" s="5">
        <f>IF(F758="Address issue","address issue",IF(OR(F758="Delivered",F758="Returned to sender",G758=""),"",IF(AND(Rules!$B$3&lt;&gt;"",F758="Held at customs",H758&gt;=Rules!$B$3),"customs &gt;= "&amp;Rules!$B$3&amp;" days",IF(H758&gt;=Rules!$B$2,"idle &gt;= "&amp;Rules!$B$2&amp;" days",""))))</f>
        <v/>
      </c>
      <c r="J758" s="5">
        <f>IF(I758="","",IF(F758="Address issue",0,COUNTIF($I$2:$I$1001,"address issue"))+COUNTIFS($I$2:$I$1001,"?*",$F$2:$F$1001,IF(F758="Address issue","Address issue","&lt;&gt;Address issue"),$H$2:$H$1001,"&gt;"&amp;H758)+1)</f>
        <v/>
      </c>
    </row>
    <row r="759">
      <c r="A759" s="11" t="n">
        <v>100758</v>
      </c>
      <c r="B759" s="11" t="inlineStr">
        <is>
          <t>Мексика</t>
        </is>
      </c>
      <c r="C759" s="11" t="inlineStr">
        <is>
          <t>AndesCargo</t>
        </is>
      </c>
      <c r="D759" s="11" t="inlineStr">
        <is>
          <t>AC65710503</t>
        </is>
      </c>
      <c r="E759" s="12" t="n">
        <v>46283</v>
      </c>
      <c r="F759" s="11" t="inlineStr">
        <is>
          <t>Delivered</t>
        </is>
      </c>
      <c r="G759" s="12" t="n">
        <v>46287</v>
      </c>
      <c r="H759" s="5">
        <f>IF(G759="","",Rules!$B$1-G759)</f>
        <v/>
      </c>
      <c r="I759" s="5">
        <f>IF(F759="Address issue","address issue",IF(OR(F759="Delivered",F759="Returned to sender",G759=""),"",IF(AND(Rules!$B$3&lt;&gt;"",F759="Held at customs",H759&gt;=Rules!$B$3),"customs &gt;= "&amp;Rules!$B$3&amp;" days",IF(H759&gt;=Rules!$B$2,"idle &gt;= "&amp;Rules!$B$2&amp;" days",""))))</f>
        <v/>
      </c>
      <c r="J759" s="5">
        <f>IF(I759="","",IF(F759="Address issue",0,COUNTIF($I$2:$I$1001,"address issue"))+COUNTIFS($I$2:$I$1001,"?*",$F$2:$F$1001,IF(F759="Address issue","Address issue","&lt;&gt;Address issue"),$H$2:$H$1001,"&gt;"&amp;H759)+1)</f>
        <v/>
      </c>
    </row>
    <row r="760">
      <c r="A760" s="11" t="n">
        <v>100759</v>
      </c>
      <c r="B760" s="11" t="inlineStr">
        <is>
          <t>Мексика</t>
        </is>
      </c>
      <c r="C760" s="11" t="inlineStr">
        <is>
          <t>AndesCargo</t>
        </is>
      </c>
      <c r="D760" s="11" t="inlineStr">
        <is>
          <t>AC96159125</t>
        </is>
      </c>
      <c r="E760" s="12" t="n">
        <v>46281</v>
      </c>
      <c r="F760" s="11" t="inlineStr">
        <is>
          <t>Delivered</t>
        </is>
      </c>
      <c r="G760" s="12" t="n">
        <v>46284</v>
      </c>
      <c r="H760" s="5">
        <f>IF(G760="","",Rules!$B$1-G760)</f>
        <v/>
      </c>
      <c r="I760" s="5">
        <f>IF(F760="Address issue","address issue",IF(OR(F760="Delivered",F760="Returned to sender",G760=""),"",IF(AND(Rules!$B$3&lt;&gt;"",F760="Held at customs",H760&gt;=Rules!$B$3),"customs &gt;= "&amp;Rules!$B$3&amp;" days",IF(H760&gt;=Rules!$B$2,"idle &gt;= "&amp;Rules!$B$2&amp;" days",""))))</f>
        <v/>
      </c>
      <c r="J760" s="5">
        <f>IF(I760="","",IF(F760="Address issue",0,COUNTIF($I$2:$I$1001,"address issue"))+COUNTIFS($I$2:$I$1001,"?*",$F$2:$F$1001,IF(F760="Address issue","Address issue","&lt;&gt;Address issue"),$H$2:$H$1001,"&gt;"&amp;H760)+1)</f>
        <v/>
      </c>
    </row>
    <row r="761">
      <c r="A761" s="11" t="n">
        <v>100760</v>
      </c>
      <c r="B761" s="11" t="inlineStr">
        <is>
          <t>Мексика</t>
        </is>
      </c>
      <c r="C761" s="11" t="inlineStr">
        <is>
          <t>AndesCargo</t>
        </is>
      </c>
      <c r="D761" s="11" t="inlineStr">
        <is>
          <t>AC50669413</t>
        </is>
      </c>
      <c r="E761" s="12" t="n">
        <v>46300</v>
      </c>
      <c r="F761" s="11" t="inlineStr">
        <is>
          <t>Address issue</t>
        </is>
      </c>
      <c r="G761" s="12" t="n">
        <v>46304</v>
      </c>
      <c r="H761" s="5">
        <f>IF(G761="","",Rules!$B$1-G761)</f>
        <v/>
      </c>
      <c r="I761" s="5">
        <f>IF(F761="Address issue","address issue",IF(OR(F761="Delivered",F761="Returned to sender",G761=""),"",IF(AND(Rules!$B$3&lt;&gt;"",F761="Held at customs",H761&gt;=Rules!$B$3),"customs &gt;= "&amp;Rules!$B$3&amp;" days",IF(H761&gt;=Rules!$B$2,"idle &gt;= "&amp;Rules!$B$2&amp;" days",""))))</f>
        <v/>
      </c>
      <c r="J761" s="5">
        <f>IF(I761="","",IF(F761="Address issue",0,COUNTIF($I$2:$I$1001,"address issue"))+COUNTIFS($I$2:$I$1001,"?*",$F$2:$F$1001,IF(F761="Address issue","Address issue","&lt;&gt;Address issue"),$H$2:$H$1001,"&gt;"&amp;H761)+1)</f>
        <v/>
      </c>
    </row>
    <row r="762">
      <c r="A762" s="11" t="n">
        <v>100761</v>
      </c>
      <c r="B762" s="11" t="inlineStr">
        <is>
          <t>Бразилія</t>
        </is>
      </c>
      <c r="C762" s="11" t="inlineStr">
        <is>
          <t>AndesCargo</t>
        </is>
      </c>
      <c r="D762" s="11" t="inlineStr">
        <is>
          <t>AC41229061</t>
        </is>
      </c>
      <c r="E762" s="12" t="n">
        <v>46278</v>
      </c>
      <c r="F762" s="11" t="inlineStr">
        <is>
          <t>Delivered</t>
        </is>
      </c>
      <c r="G762" s="12" t="n">
        <v>46286</v>
      </c>
      <c r="H762" s="5">
        <f>IF(G762="","",Rules!$B$1-G762)</f>
        <v/>
      </c>
      <c r="I762" s="5">
        <f>IF(F762="Address issue","address issue",IF(OR(F762="Delivered",F762="Returned to sender",G762=""),"",IF(AND(Rules!$B$3&lt;&gt;"",F762="Held at customs",H762&gt;=Rules!$B$3),"customs &gt;= "&amp;Rules!$B$3&amp;" days",IF(H762&gt;=Rules!$B$2,"idle &gt;= "&amp;Rules!$B$2&amp;" days",""))))</f>
        <v/>
      </c>
      <c r="J762" s="5">
        <f>IF(I762="","",IF(F762="Address issue",0,COUNTIF($I$2:$I$1001,"address issue"))+COUNTIFS($I$2:$I$1001,"?*",$F$2:$F$1001,IF(F762="Address issue","Address issue","&lt;&gt;Address issue"),$H$2:$H$1001,"&gt;"&amp;H762)+1)</f>
        <v/>
      </c>
    </row>
    <row r="763">
      <c r="A763" s="11" t="n">
        <v>100762</v>
      </c>
      <c r="B763" s="11" t="inlineStr">
        <is>
          <t>Бразилія</t>
        </is>
      </c>
      <c r="C763" s="11" t="inlineStr">
        <is>
          <t>AndesCargo</t>
        </is>
      </c>
      <c r="D763" s="11" t="inlineStr">
        <is>
          <t>AC50929685</t>
        </is>
      </c>
      <c r="E763" s="12" t="n">
        <v>46301</v>
      </c>
      <c r="F763" s="11" t="inlineStr">
        <is>
          <t>In transit</t>
        </is>
      </c>
      <c r="G763" s="13" t="n">
        <v>46306</v>
      </c>
      <c r="H763" s="5">
        <f>IF(G763="","",Rules!$B$1-G763)</f>
        <v/>
      </c>
      <c r="I763" s="5">
        <f>IF(F763="Address issue","address issue",IF(OR(F763="Delivered",F763="Returned to sender",G763=""),"",IF(AND(Rules!$B$3&lt;&gt;"",F763="Held at customs",H763&gt;=Rules!$B$3),"customs &gt;= "&amp;Rules!$B$3&amp;" days",IF(H763&gt;=Rules!$B$2,"idle &gt;= "&amp;Rules!$B$2&amp;" days",""))))</f>
        <v/>
      </c>
      <c r="J763" s="5">
        <f>IF(I763="","",IF(F763="Address issue",0,COUNTIF($I$2:$I$1001,"address issue"))+COUNTIFS($I$2:$I$1001,"?*",$F$2:$F$1001,IF(F763="Address issue","Address issue","&lt;&gt;Address issue"),$H$2:$H$1001,"&gt;"&amp;H763)+1)</f>
        <v/>
      </c>
    </row>
    <row r="764">
      <c r="A764" s="11" t="n">
        <v>100763</v>
      </c>
      <c r="B764" s="11" t="inlineStr">
        <is>
          <t>Мексика</t>
        </is>
      </c>
      <c r="C764" s="11" t="inlineStr">
        <is>
          <t>AndesCargo</t>
        </is>
      </c>
      <c r="D764" s="11" t="inlineStr">
        <is>
          <t>AC30724803</t>
        </is>
      </c>
      <c r="E764" s="12" t="n">
        <v>46297</v>
      </c>
      <c r="F764" s="11" t="inlineStr">
        <is>
          <t>In transit</t>
        </is>
      </c>
      <c r="G764" s="12" t="n">
        <v>46303</v>
      </c>
      <c r="H764" s="5">
        <f>IF(G764="","",Rules!$B$1-G764)</f>
        <v/>
      </c>
      <c r="I764" s="5">
        <f>IF(F764="Address issue","address issue",IF(OR(F764="Delivered",F764="Returned to sender",G764=""),"",IF(AND(Rules!$B$3&lt;&gt;"",F764="Held at customs",H764&gt;=Rules!$B$3),"customs &gt;= "&amp;Rules!$B$3&amp;" days",IF(H764&gt;=Rules!$B$2,"idle &gt;= "&amp;Rules!$B$2&amp;" days",""))))</f>
        <v/>
      </c>
      <c r="J764" s="5">
        <f>IF(I764="","",IF(F764="Address issue",0,COUNTIF($I$2:$I$1001,"address issue"))+COUNTIFS($I$2:$I$1001,"?*",$F$2:$F$1001,IF(F764="Address issue","Address issue","&lt;&gt;Address issue"),$H$2:$H$1001,"&gt;"&amp;H764)+1)</f>
        <v/>
      </c>
    </row>
    <row r="765">
      <c r="A765" s="11" t="n">
        <v>100764</v>
      </c>
      <c r="B765" s="11" t="inlineStr">
        <is>
          <t>Мексика</t>
        </is>
      </c>
      <c r="C765" s="11" t="inlineStr">
        <is>
          <t>AndesCargo</t>
        </is>
      </c>
      <c r="D765" s="11" t="inlineStr">
        <is>
          <t>AC40341652</t>
        </is>
      </c>
      <c r="E765" s="13" t="n">
        <v>46305</v>
      </c>
      <c r="F765" s="11" t="inlineStr">
        <is>
          <t>In transit</t>
        </is>
      </c>
      <c r="G765" s="13" t="n">
        <v>46307</v>
      </c>
      <c r="H765" s="5">
        <f>IF(G765="","",Rules!$B$1-G765)</f>
        <v/>
      </c>
      <c r="I765" s="5">
        <f>IF(F765="Address issue","address issue",IF(OR(F765="Delivered",F765="Returned to sender",G765=""),"",IF(AND(Rules!$B$3&lt;&gt;"",F765="Held at customs",H765&gt;=Rules!$B$3),"customs &gt;= "&amp;Rules!$B$3&amp;" days",IF(H765&gt;=Rules!$B$2,"idle &gt;= "&amp;Rules!$B$2&amp;" days",""))))</f>
        <v/>
      </c>
      <c r="J765" s="5">
        <f>IF(I765="","",IF(F765="Address issue",0,COUNTIF($I$2:$I$1001,"address issue"))+COUNTIFS($I$2:$I$1001,"?*",$F$2:$F$1001,IF(F765="Address issue","Address issue","&lt;&gt;Address issue"),$H$2:$H$1001,"&gt;"&amp;H765)+1)</f>
        <v/>
      </c>
    </row>
    <row r="766">
      <c r="A766" s="11" t="n">
        <v>100765</v>
      </c>
      <c r="B766" s="11" t="inlineStr">
        <is>
          <t>Мексика</t>
        </is>
      </c>
      <c r="C766" s="11" t="inlineStr">
        <is>
          <t>AndesCargo</t>
        </is>
      </c>
      <c r="D766" s="11" t="inlineStr">
        <is>
          <t>AC36477753</t>
        </is>
      </c>
      <c r="E766" s="12" t="n">
        <v>46298</v>
      </c>
      <c r="F766" s="11" t="inlineStr">
        <is>
          <t>Delivered</t>
        </is>
      </c>
      <c r="G766" s="12" t="n">
        <v>46303</v>
      </c>
      <c r="H766" s="5">
        <f>IF(G766="","",Rules!$B$1-G766)</f>
        <v/>
      </c>
      <c r="I766" s="5">
        <f>IF(F766="Address issue","address issue",IF(OR(F766="Delivered",F766="Returned to sender",G766=""),"",IF(AND(Rules!$B$3&lt;&gt;"",F766="Held at customs",H766&gt;=Rules!$B$3),"customs &gt;= "&amp;Rules!$B$3&amp;" days",IF(H766&gt;=Rules!$B$2,"idle &gt;= "&amp;Rules!$B$2&amp;" days",""))))</f>
        <v/>
      </c>
      <c r="J766" s="5">
        <f>IF(I766="","",IF(F766="Address issue",0,COUNTIF($I$2:$I$1001,"address issue"))+COUNTIFS($I$2:$I$1001,"?*",$F$2:$F$1001,IF(F766="Address issue","Address issue","&lt;&gt;Address issue"),$H$2:$H$1001,"&gt;"&amp;H766)+1)</f>
        <v/>
      </c>
    </row>
    <row r="767">
      <c r="A767" s="11" t="n">
        <v>100766</v>
      </c>
      <c r="B767" s="11" t="inlineStr">
        <is>
          <t>Мексика</t>
        </is>
      </c>
      <c r="C767" s="11" t="inlineStr">
        <is>
          <t>AndesCargo</t>
        </is>
      </c>
      <c r="D767" s="11" t="inlineStr">
        <is>
          <t>AC14993717</t>
        </is>
      </c>
      <c r="E767" s="13" t="n">
        <v>46306</v>
      </c>
      <c r="F767" s="11" t="inlineStr">
        <is>
          <t>In transit</t>
        </is>
      </c>
      <c r="G767" s="13" t="n">
        <v>46308</v>
      </c>
      <c r="H767" s="5">
        <f>IF(G767="","",Rules!$B$1-G767)</f>
        <v/>
      </c>
      <c r="I767" s="5">
        <f>IF(F767="Address issue","address issue",IF(OR(F767="Delivered",F767="Returned to sender",G767=""),"",IF(AND(Rules!$B$3&lt;&gt;"",F767="Held at customs",H767&gt;=Rules!$B$3),"customs &gt;= "&amp;Rules!$B$3&amp;" days",IF(H767&gt;=Rules!$B$2,"idle &gt;= "&amp;Rules!$B$2&amp;" days",""))))</f>
        <v/>
      </c>
      <c r="J767" s="5">
        <f>IF(I767="","",IF(F767="Address issue",0,COUNTIF($I$2:$I$1001,"address issue"))+COUNTIFS($I$2:$I$1001,"?*",$F$2:$F$1001,IF(F767="Address issue","Address issue","&lt;&gt;Address issue"),$H$2:$H$1001,"&gt;"&amp;H767)+1)</f>
        <v/>
      </c>
    </row>
    <row r="768">
      <c r="A768" s="11" t="n">
        <v>100767</v>
      </c>
      <c r="B768" s="11" t="inlineStr">
        <is>
          <t>Мексика</t>
        </is>
      </c>
      <c r="C768" s="11" t="inlineStr">
        <is>
          <t>SwiftParcel</t>
        </is>
      </c>
      <c r="D768" s="11" t="inlineStr">
        <is>
          <t>SP5829280</t>
        </is>
      </c>
      <c r="E768" s="12" t="n">
        <v>46298</v>
      </c>
      <c r="F768" s="11" t="inlineStr">
        <is>
          <t>In transit</t>
        </is>
      </c>
      <c r="G768" s="12" t="n">
        <v>46304</v>
      </c>
      <c r="H768" s="5">
        <f>IF(G768="","",Rules!$B$1-G768)</f>
        <v/>
      </c>
      <c r="I768" s="5">
        <f>IF(F768="Address issue","address issue",IF(OR(F768="Delivered",F768="Returned to sender",G768=""),"",IF(AND(Rules!$B$3&lt;&gt;"",F768="Held at customs",H768&gt;=Rules!$B$3),"customs &gt;= "&amp;Rules!$B$3&amp;" days",IF(H768&gt;=Rules!$B$2,"idle &gt;= "&amp;Rules!$B$2&amp;" days",""))))</f>
        <v/>
      </c>
      <c r="J768" s="5">
        <f>IF(I768="","",IF(F768="Address issue",0,COUNTIF($I$2:$I$1001,"address issue"))+COUNTIFS($I$2:$I$1001,"?*",$F$2:$F$1001,IF(F768="Address issue","Address issue","&lt;&gt;Address issue"),$H$2:$H$1001,"&gt;"&amp;H768)+1)</f>
        <v/>
      </c>
    </row>
    <row r="769">
      <c r="A769" s="11" t="n">
        <v>100768</v>
      </c>
      <c r="B769" s="11" t="inlineStr">
        <is>
          <t>Мексика</t>
        </is>
      </c>
      <c r="C769" s="11" t="inlineStr">
        <is>
          <t>SwiftParcel</t>
        </is>
      </c>
      <c r="D769" s="11" t="inlineStr">
        <is>
          <t>SP2917377</t>
        </is>
      </c>
      <c r="E769" s="13" t="n">
        <v>46307</v>
      </c>
      <c r="F769" s="11" t="inlineStr">
        <is>
          <t>In transit</t>
        </is>
      </c>
      <c r="G769" s="13" t="n">
        <v>46308</v>
      </c>
      <c r="H769" s="5">
        <f>IF(G769="","",Rules!$B$1-G769)</f>
        <v/>
      </c>
      <c r="I769" s="5">
        <f>IF(F769="Address issue","address issue",IF(OR(F769="Delivered",F769="Returned to sender",G769=""),"",IF(AND(Rules!$B$3&lt;&gt;"",F769="Held at customs",H769&gt;=Rules!$B$3),"customs &gt;= "&amp;Rules!$B$3&amp;" days",IF(H769&gt;=Rules!$B$2,"idle &gt;= "&amp;Rules!$B$2&amp;" days",""))))</f>
        <v/>
      </c>
      <c r="J769" s="5">
        <f>IF(I769="","",IF(F769="Address issue",0,COUNTIF($I$2:$I$1001,"address issue"))+COUNTIFS($I$2:$I$1001,"?*",$F$2:$F$1001,IF(F769="Address issue","Address issue","&lt;&gt;Address issue"),$H$2:$H$1001,"&gt;"&amp;H769)+1)</f>
        <v/>
      </c>
    </row>
    <row r="770">
      <c r="A770" s="11" t="n">
        <v>100769</v>
      </c>
      <c r="B770" s="11" t="inlineStr">
        <is>
          <t>Мексика</t>
        </is>
      </c>
      <c r="C770" s="11" t="inlineStr">
        <is>
          <t>AndesCargo</t>
        </is>
      </c>
      <c r="D770" s="11" t="inlineStr">
        <is>
          <t>AC99838954</t>
        </is>
      </c>
      <c r="E770" s="13" t="n">
        <v>46309</v>
      </c>
      <c r="F770" s="11" t="inlineStr">
        <is>
          <t>Label created</t>
        </is>
      </c>
      <c r="G770" s="13" t="n">
        <v>46309</v>
      </c>
      <c r="H770" s="5">
        <f>IF(G770="","",Rules!$B$1-G770)</f>
        <v/>
      </c>
      <c r="I770" s="5">
        <f>IF(F770="Address issue","address issue",IF(OR(F770="Delivered",F770="Returned to sender",G770=""),"",IF(AND(Rules!$B$3&lt;&gt;"",F770="Held at customs",H770&gt;=Rules!$B$3),"customs &gt;= "&amp;Rules!$B$3&amp;" days",IF(H770&gt;=Rules!$B$2,"idle &gt;= "&amp;Rules!$B$2&amp;" days",""))))</f>
        <v/>
      </c>
      <c r="J770" s="5">
        <f>IF(I770="","",IF(F770="Address issue",0,COUNTIF($I$2:$I$1001,"address issue"))+COUNTIFS($I$2:$I$1001,"?*",$F$2:$F$1001,IF(F770="Address issue","Address issue","&lt;&gt;Address issue"),$H$2:$H$1001,"&gt;"&amp;H770)+1)</f>
        <v/>
      </c>
    </row>
    <row r="771">
      <c r="A771" s="11" t="n">
        <v>100770</v>
      </c>
      <c r="B771" s="11" t="inlineStr">
        <is>
          <t>Канада</t>
        </is>
      </c>
      <c r="C771" s="11" t="inlineStr">
        <is>
          <t>PostLink</t>
        </is>
      </c>
      <c r="D771" s="11" t="inlineStr">
        <is>
          <t>PL75988729</t>
        </is>
      </c>
      <c r="E771" s="12" t="n">
        <v>46299</v>
      </c>
      <c r="F771" s="11" t="inlineStr">
        <is>
          <t>Delivered</t>
        </is>
      </c>
      <c r="G771" s="12" t="n">
        <v>46302</v>
      </c>
      <c r="H771" s="5">
        <f>IF(G771="","",Rules!$B$1-G771)</f>
        <v/>
      </c>
      <c r="I771" s="5">
        <f>IF(F771="Address issue","address issue",IF(OR(F771="Delivered",F771="Returned to sender",G771=""),"",IF(AND(Rules!$B$3&lt;&gt;"",F771="Held at customs",H771&gt;=Rules!$B$3),"customs &gt;= "&amp;Rules!$B$3&amp;" days",IF(H771&gt;=Rules!$B$2,"idle &gt;= "&amp;Rules!$B$2&amp;" days",""))))</f>
        <v/>
      </c>
      <c r="J771" s="5">
        <f>IF(I771="","",IF(F771="Address issue",0,COUNTIF($I$2:$I$1001,"address issue"))+COUNTIFS($I$2:$I$1001,"?*",$F$2:$F$1001,IF(F771="Address issue","Address issue","&lt;&gt;Address issue"),$H$2:$H$1001,"&gt;"&amp;H771)+1)</f>
        <v/>
      </c>
    </row>
    <row r="772">
      <c r="A772" s="11" t="n">
        <v>100771</v>
      </c>
      <c r="B772" s="11" t="inlineStr">
        <is>
          <t>Бразилія</t>
        </is>
      </c>
      <c r="C772" s="11" t="inlineStr">
        <is>
          <t>SwiftParcel</t>
        </is>
      </c>
      <c r="D772" s="11" t="inlineStr">
        <is>
          <t>SP3861244</t>
        </is>
      </c>
      <c r="E772" s="12" t="n">
        <v>46302</v>
      </c>
      <c r="F772" s="11" t="inlineStr">
        <is>
          <t>In transit</t>
        </is>
      </c>
      <c r="G772" s="13" t="n">
        <v>46306</v>
      </c>
      <c r="H772" s="5">
        <f>IF(G772="","",Rules!$B$1-G772)</f>
        <v/>
      </c>
      <c r="I772" s="5">
        <f>IF(F772="Address issue","address issue",IF(OR(F772="Delivered",F772="Returned to sender",G772=""),"",IF(AND(Rules!$B$3&lt;&gt;"",F772="Held at customs",H772&gt;=Rules!$B$3),"customs &gt;= "&amp;Rules!$B$3&amp;" days",IF(H772&gt;=Rules!$B$2,"idle &gt;= "&amp;Rules!$B$2&amp;" days",""))))</f>
        <v/>
      </c>
      <c r="J772" s="5">
        <f>IF(I772="","",IF(F772="Address issue",0,COUNTIF($I$2:$I$1001,"address issue"))+COUNTIFS($I$2:$I$1001,"?*",$F$2:$F$1001,IF(F772="Address issue","Address issue","&lt;&gt;Address issue"),$H$2:$H$1001,"&gt;"&amp;H772)+1)</f>
        <v/>
      </c>
    </row>
    <row r="773">
      <c r="A773" s="11" t="n">
        <v>100772</v>
      </c>
      <c r="B773" s="11" t="inlineStr">
        <is>
          <t>Мексика</t>
        </is>
      </c>
      <c r="C773" s="11" t="inlineStr">
        <is>
          <t>AndesCargo</t>
        </is>
      </c>
      <c r="D773" s="11" t="inlineStr">
        <is>
          <t>AC37032495</t>
        </is>
      </c>
      <c r="E773" s="12" t="n">
        <v>46296</v>
      </c>
      <c r="F773" s="11" t="inlineStr">
        <is>
          <t>Delivered</t>
        </is>
      </c>
      <c r="G773" s="12" t="n">
        <v>46304</v>
      </c>
      <c r="H773" s="5">
        <f>IF(G773="","",Rules!$B$1-G773)</f>
        <v/>
      </c>
      <c r="I773" s="5">
        <f>IF(F773="Address issue","address issue",IF(OR(F773="Delivered",F773="Returned to sender",G773=""),"",IF(AND(Rules!$B$3&lt;&gt;"",F773="Held at customs",H773&gt;=Rules!$B$3),"customs &gt;= "&amp;Rules!$B$3&amp;" days",IF(H773&gt;=Rules!$B$2,"idle &gt;= "&amp;Rules!$B$2&amp;" days",""))))</f>
        <v/>
      </c>
      <c r="J773" s="5">
        <f>IF(I773="","",IF(F773="Address issue",0,COUNTIF($I$2:$I$1001,"address issue"))+COUNTIFS($I$2:$I$1001,"?*",$F$2:$F$1001,IF(F773="Address issue","Address issue","&lt;&gt;Address issue"),$H$2:$H$1001,"&gt;"&amp;H773)+1)</f>
        <v/>
      </c>
    </row>
    <row r="774">
      <c r="A774" s="11" t="n">
        <v>100773</v>
      </c>
      <c r="B774" s="11" t="inlineStr">
        <is>
          <t>Канада</t>
        </is>
      </c>
      <c r="C774" s="11" t="inlineStr">
        <is>
          <t>PostLink</t>
        </is>
      </c>
      <c r="D774" s="11" t="inlineStr">
        <is>
          <t>PL85943646</t>
        </is>
      </c>
      <c r="E774" s="12" t="n">
        <v>46288</v>
      </c>
      <c r="F774" s="11" t="inlineStr">
        <is>
          <t>Delivered</t>
        </is>
      </c>
      <c r="G774" s="12" t="n">
        <v>46297</v>
      </c>
      <c r="H774" s="5">
        <f>IF(G774="","",Rules!$B$1-G774)</f>
        <v/>
      </c>
      <c r="I774" s="5">
        <f>IF(F774="Address issue","address issue",IF(OR(F774="Delivered",F774="Returned to sender",G774=""),"",IF(AND(Rules!$B$3&lt;&gt;"",F774="Held at customs",H774&gt;=Rules!$B$3),"customs &gt;= "&amp;Rules!$B$3&amp;" days",IF(H774&gt;=Rules!$B$2,"idle &gt;= "&amp;Rules!$B$2&amp;" days",""))))</f>
        <v/>
      </c>
      <c r="J774" s="5">
        <f>IF(I774="","",IF(F774="Address issue",0,COUNTIF($I$2:$I$1001,"address issue"))+COUNTIFS($I$2:$I$1001,"?*",$F$2:$F$1001,IF(F774="Address issue","Address issue","&lt;&gt;Address issue"),$H$2:$H$1001,"&gt;"&amp;H774)+1)</f>
        <v/>
      </c>
    </row>
    <row r="775">
      <c r="A775" s="11" t="n">
        <v>100774</v>
      </c>
      <c r="B775" s="11" t="inlineStr">
        <is>
          <t>Бразилія</t>
        </is>
      </c>
      <c r="C775" s="11" t="inlineStr">
        <is>
          <t>SwiftParcel</t>
        </is>
      </c>
      <c r="D775" s="11" t="inlineStr">
        <is>
          <t>SP4085470</t>
        </is>
      </c>
      <c r="E775" s="12" t="n">
        <v>46295</v>
      </c>
      <c r="F775" s="11" t="inlineStr">
        <is>
          <t>In transit</t>
        </is>
      </c>
      <c r="G775" s="12" t="n">
        <v>46300</v>
      </c>
      <c r="H775" s="5">
        <f>IF(G775="","",Rules!$B$1-G775)</f>
        <v/>
      </c>
      <c r="I775" s="5">
        <f>IF(F775="Address issue","address issue",IF(OR(F775="Delivered",F775="Returned to sender",G775=""),"",IF(AND(Rules!$B$3&lt;&gt;"",F775="Held at customs",H775&gt;=Rules!$B$3),"customs &gt;= "&amp;Rules!$B$3&amp;" days",IF(H775&gt;=Rules!$B$2,"idle &gt;= "&amp;Rules!$B$2&amp;" days",""))))</f>
        <v/>
      </c>
      <c r="J775" s="5">
        <f>IF(I775="","",IF(F775="Address issue",0,COUNTIF($I$2:$I$1001,"address issue"))+COUNTIFS($I$2:$I$1001,"?*",$F$2:$F$1001,IF(F775="Address issue","Address issue","&lt;&gt;Address issue"),$H$2:$H$1001,"&gt;"&amp;H775)+1)</f>
        <v/>
      </c>
    </row>
    <row r="776">
      <c r="A776" s="11" t="n">
        <v>100775</v>
      </c>
      <c r="B776" s="11" t="inlineStr">
        <is>
          <t>Мексика</t>
        </is>
      </c>
      <c r="C776" s="11" t="inlineStr">
        <is>
          <t>AndesCargo</t>
        </is>
      </c>
      <c r="D776" s="11" t="inlineStr">
        <is>
          <t>AC78485386</t>
        </is>
      </c>
      <c r="E776" s="12" t="n">
        <v>46299</v>
      </c>
      <c r="F776" s="11" t="inlineStr">
        <is>
          <t>Delivered</t>
        </is>
      </c>
      <c r="G776" s="13" t="n">
        <v>46306</v>
      </c>
      <c r="H776" s="5">
        <f>IF(G776="","",Rules!$B$1-G776)</f>
        <v/>
      </c>
      <c r="I776" s="5">
        <f>IF(F776="Address issue","address issue",IF(OR(F776="Delivered",F776="Returned to sender",G776=""),"",IF(AND(Rules!$B$3&lt;&gt;"",F776="Held at customs",H776&gt;=Rules!$B$3),"customs &gt;= "&amp;Rules!$B$3&amp;" days",IF(H776&gt;=Rules!$B$2,"idle &gt;= "&amp;Rules!$B$2&amp;" days",""))))</f>
        <v/>
      </c>
      <c r="J776" s="5">
        <f>IF(I776="","",IF(F776="Address issue",0,COUNTIF($I$2:$I$1001,"address issue"))+COUNTIFS($I$2:$I$1001,"?*",$F$2:$F$1001,IF(F776="Address issue","Address issue","&lt;&gt;Address issue"),$H$2:$H$1001,"&gt;"&amp;H776)+1)</f>
        <v/>
      </c>
    </row>
    <row r="777">
      <c r="A777" s="11" t="n">
        <v>100776</v>
      </c>
      <c r="B777" s="11" t="inlineStr">
        <is>
          <t>Бразилія</t>
        </is>
      </c>
      <c r="C777" s="11" t="inlineStr">
        <is>
          <t>SwiftParcel</t>
        </is>
      </c>
      <c r="D777" s="11" t="inlineStr">
        <is>
          <t>SP9314236</t>
        </is>
      </c>
      <c r="E777" s="12" t="n">
        <v>46285</v>
      </c>
      <c r="F777" s="11" t="inlineStr">
        <is>
          <t>Delivered</t>
        </is>
      </c>
      <c r="G777" s="12" t="n">
        <v>46296</v>
      </c>
      <c r="H777" s="5">
        <f>IF(G777="","",Rules!$B$1-G777)</f>
        <v/>
      </c>
      <c r="I777" s="5">
        <f>IF(F777="Address issue","address issue",IF(OR(F777="Delivered",F777="Returned to sender",G777=""),"",IF(AND(Rules!$B$3&lt;&gt;"",F777="Held at customs",H777&gt;=Rules!$B$3),"customs &gt;= "&amp;Rules!$B$3&amp;" days",IF(H777&gt;=Rules!$B$2,"idle &gt;= "&amp;Rules!$B$2&amp;" days",""))))</f>
        <v/>
      </c>
      <c r="J777" s="5">
        <f>IF(I777="","",IF(F777="Address issue",0,COUNTIF($I$2:$I$1001,"address issue"))+COUNTIFS($I$2:$I$1001,"?*",$F$2:$F$1001,IF(F777="Address issue","Address issue","&lt;&gt;Address issue"),$H$2:$H$1001,"&gt;"&amp;H777)+1)</f>
        <v/>
      </c>
    </row>
    <row r="778">
      <c r="A778" s="11" t="n">
        <v>100777</v>
      </c>
      <c r="B778" s="11" t="inlineStr">
        <is>
          <t>Канада</t>
        </is>
      </c>
      <c r="C778" s="11" t="inlineStr">
        <is>
          <t>PostLink</t>
        </is>
      </c>
      <c r="D778" s="11" t="inlineStr">
        <is>
          <t>PL61932283</t>
        </is>
      </c>
      <c r="E778" s="12" t="n">
        <v>46284</v>
      </c>
      <c r="F778" s="11" t="inlineStr">
        <is>
          <t>Delivered</t>
        </is>
      </c>
      <c r="G778" s="12" t="n">
        <v>46287</v>
      </c>
      <c r="H778" s="5">
        <f>IF(G778="","",Rules!$B$1-G778)</f>
        <v/>
      </c>
      <c r="I778" s="5">
        <f>IF(F778="Address issue","address issue",IF(OR(F778="Delivered",F778="Returned to sender",G778=""),"",IF(AND(Rules!$B$3&lt;&gt;"",F778="Held at customs",H778&gt;=Rules!$B$3),"customs &gt;= "&amp;Rules!$B$3&amp;" days",IF(H778&gt;=Rules!$B$2,"idle &gt;= "&amp;Rules!$B$2&amp;" days",""))))</f>
        <v/>
      </c>
      <c r="J778" s="5">
        <f>IF(I778="","",IF(F778="Address issue",0,COUNTIF($I$2:$I$1001,"address issue"))+COUNTIFS($I$2:$I$1001,"?*",$F$2:$F$1001,IF(F778="Address issue","Address issue","&lt;&gt;Address issue"),$H$2:$H$1001,"&gt;"&amp;H778)+1)</f>
        <v/>
      </c>
    </row>
    <row r="779">
      <c r="A779" s="11" t="n">
        <v>100778</v>
      </c>
      <c r="B779" s="11" t="inlineStr">
        <is>
          <t>Канада</t>
        </is>
      </c>
      <c r="C779" s="11" t="inlineStr">
        <is>
          <t>PostLink</t>
        </is>
      </c>
      <c r="D779" s="11" t="inlineStr">
        <is>
          <t>PL97886341</t>
        </is>
      </c>
      <c r="E779" s="13" t="n">
        <v>46305</v>
      </c>
      <c r="F779" s="11" t="inlineStr">
        <is>
          <t>In transit</t>
        </is>
      </c>
      <c r="G779" s="13" t="n">
        <v>46307</v>
      </c>
      <c r="H779" s="5">
        <f>IF(G779="","",Rules!$B$1-G779)</f>
        <v/>
      </c>
      <c r="I779" s="5">
        <f>IF(F779="Address issue","address issue",IF(OR(F779="Delivered",F779="Returned to sender",G779=""),"",IF(AND(Rules!$B$3&lt;&gt;"",F779="Held at customs",H779&gt;=Rules!$B$3),"customs &gt;= "&amp;Rules!$B$3&amp;" days",IF(H779&gt;=Rules!$B$2,"idle &gt;= "&amp;Rules!$B$2&amp;" days",""))))</f>
        <v/>
      </c>
      <c r="J779" s="5">
        <f>IF(I779="","",IF(F779="Address issue",0,COUNTIF($I$2:$I$1001,"address issue"))+COUNTIFS($I$2:$I$1001,"?*",$F$2:$F$1001,IF(F779="Address issue","Address issue","&lt;&gt;Address issue"),$H$2:$H$1001,"&gt;"&amp;H779)+1)</f>
        <v/>
      </c>
    </row>
    <row r="780">
      <c r="A780" s="11" t="n">
        <v>100779</v>
      </c>
      <c r="B780" s="11" t="inlineStr">
        <is>
          <t>Канада</t>
        </is>
      </c>
      <c r="C780" s="11" t="inlineStr">
        <is>
          <t>PostLink</t>
        </is>
      </c>
      <c r="D780" s="11" t="inlineStr">
        <is>
          <t>PL90636095</t>
        </is>
      </c>
      <c r="E780" s="12" t="n">
        <v>46299</v>
      </c>
      <c r="F780" s="11" t="inlineStr">
        <is>
          <t>In transit</t>
        </is>
      </c>
      <c r="G780" s="12" t="n">
        <v>46304</v>
      </c>
      <c r="H780" s="5">
        <f>IF(G780="","",Rules!$B$1-G780)</f>
        <v/>
      </c>
      <c r="I780" s="5">
        <f>IF(F780="Address issue","address issue",IF(OR(F780="Delivered",F780="Returned to sender",G780=""),"",IF(AND(Rules!$B$3&lt;&gt;"",F780="Held at customs",H780&gt;=Rules!$B$3),"customs &gt;= "&amp;Rules!$B$3&amp;" days",IF(H780&gt;=Rules!$B$2,"idle &gt;= "&amp;Rules!$B$2&amp;" days",""))))</f>
        <v/>
      </c>
      <c r="J780" s="5">
        <f>IF(I780="","",IF(F780="Address issue",0,COUNTIF($I$2:$I$1001,"address issue"))+COUNTIFS($I$2:$I$1001,"?*",$F$2:$F$1001,IF(F780="Address issue","Address issue","&lt;&gt;Address issue"),$H$2:$H$1001,"&gt;"&amp;H780)+1)</f>
        <v/>
      </c>
    </row>
    <row r="781">
      <c r="A781" s="11" t="n">
        <v>100780</v>
      </c>
      <c r="B781" s="11" t="inlineStr">
        <is>
          <t>Мексика</t>
        </is>
      </c>
      <c r="C781" s="11" t="inlineStr">
        <is>
          <t>AndesCargo</t>
        </is>
      </c>
      <c r="D781" s="11" t="inlineStr">
        <is>
          <t>AC28804438</t>
        </is>
      </c>
      <c r="E781" s="12" t="n">
        <v>46291</v>
      </c>
      <c r="F781" s="11" t="inlineStr">
        <is>
          <t>Delivered</t>
        </is>
      </c>
      <c r="G781" s="12" t="n">
        <v>46294</v>
      </c>
      <c r="H781" s="5">
        <f>IF(G781="","",Rules!$B$1-G781)</f>
        <v/>
      </c>
      <c r="I781" s="5">
        <f>IF(F781="Address issue","address issue",IF(OR(F781="Delivered",F781="Returned to sender",G781=""),"",IF(AND(Rules!$B$3&lt;&gt;"",F781="Held at customs",H781&gt;=Rules!$B$3),"customs &gt;= "&amp;Rules!$B$3&amp;" days",IF(H781&gt;=Rules!$B$2,"idle &gt;= "&amp;Rules!$B$2&amp;" days",""))))</f>
        <v/>
      </c>
      <c r="J781" s="5">
        <f>IF(I781="","",IF(F781="Address issue",0,COUNTIF($I$2:$I$1001,"address issue"))+COUNTIFS($I$2:$I$1001,"?*",$F$2:$F$1001,IF(F781="Address issue","Address issue","&lt;&gt;Address issue"),$H$2:$H$1001,"&gt;"&amp;H781)+1)</f>
        <v/>
      </c>
    </row>
    <row r="782">
      <c r="A782" s="11" t="n">
        <v>100781</v>
      </c>
      <c r="B782" s="11" t="inlineStr">
        <is>
          <t>Мексика</t>
        </is>
      </c>
      <c r="C782" s="11" t="inlineStr">
        <is>
          <t>AndesCargo</t>
        </is>
      </c>
      <c r="D782" s="11" t="inlineStr">
        <is>
          <t>AC31998807</t>
        </is>
      </c>
      <c r="E782" s="12" t="n">
        <v>46283</v>
      </c>
      <c r="F782" s="11" t="inlineStr">
        <is>
          <t>Delivered</t>
        </is>
      </c>
      <c r="G782" s="12" t="n">
        <v>46287</v>
      </c>
      <c r="H782" s="5">
        <f>IF(G782="","",Rules!$B$1-G782)</f>
        <v/>
      </c>
      <c r="I782" s="5">
        <f>IF(F782="Address issue","address issue",IF(OR(F782="Delivered",F782="Returned to sender",G782=""),"",IF(AND(Rules!$B$3&lt;&gt;"",F782="Held at customs",H782&gt;=Rules!$B$3),"customs &gt;= "&amp;Rules!$B$3&amp;" days",IF(H782&gt;=Rules!$B$2,"idle &gt;= "&amp;Rules!$B$2&amp;" days",""))))</f>
        <v/>
      </c>
      <c r="J782" s="5">
        <f>IF(I782="","",IF(F782="Address issue",0,COUNTIF($I$2:$I$1001,"address issue"))+COUNTIFS($I$2:$I$1001,"?*",$F$2:$F$1001,IF(F782="Address issue","Address issue","&lt;&gt;Address issue"),$H$2:$H$1001,"&gt;"&amp;H782)+1)</f>
        <v/>
      </c>
    </row>
    <row r="783">
      <c r="A783" s="11" t="n">
        <v>100782</v>
      </c>
      <c r="B783" s="11" t="inlineStr">
        <is>
          <t>Мексика</t>
        </is>
      </c>
      <c r="C783" s="11" t="inlineStr">
        <is>
          <t>AndesCargo</t>
        </is>
      </c>
      <c r="D783" s="11" t="inlineStr">
        <is>
          <t>AC20645546</t>
        </is>
      </c>
      <c r="E783" s="12" t="n">
        <v>46281</v>
      </c>
      <c r="F783" s="11" t="inlineStr">
        <is>
          <t>Delivered</t>
        </is>
      </c>
      <c r="G783" s="12" t="n">
        <v>46286</v>
      </c>
      <c r="H783" s="5">
        <f>IF(G783="","",Rules!$B$1-G783)</f>
        <v/>
      </c>
      <c r="I783" s="5">
        <f>IF(F783="Address issue","address issue",IF(OR(F783="Delivered",F783="Returned to sender",G783=""),"",IF(AND(Rules!$B$3&lt;&gt;"",F783="Held at customs",H783&gt;=Rules!$B$3),"customs &gt;= "&amp;Rules!$B$3&amp;" days",IF(H783&gt;=Rules!$B$2,"idle &gt;= "&amp;Rules!$B$2&amp;" days",""))))</f>
        <v/>
      </c>
      <c r="J783" s="5">
        <f>IF(I783="","",IF(F783="Address issue",0,COUNTIF($I$2:$I$1001,"address issue"))+COUNTIFS($I$2:$I$1001,"?*",$F$2:$F$1001,IF(F783="Address issue","Address issue","&lt;&gt;Address issue"),$H$2:$H$1001,"&gt;"&amp;H783)+1)</f>
        <v/>
      </c>
    </row>
    <row r="784">
      <c r="A784" s="11" t="n">
        <v>100783</v>
      </c>
      <c r="B784" s="11" t="inlineStr">
        <is>
          <t>Бразилія</t>
        </is>
      </c>
      <c r="C784" s="11" t="inlineStr">
        <is>
          <t>AndesCargo</t>
        </is>
      </c>
      <c r="D784" s="11" t="inlineStr">
        <is>
          <t>AC67147847</t>
        </is>
      </c>
      <c r="E784" s="12" t="n">
        <v>46290</v>
      </c>
      <c r="F784" s="11" t="inlineStr">
        <is>
          <t>Delivered</t>
        </is>
      </c>
      <c r="G784" s="12" t="n">
        <v>46294</v>
      </c>
      <c r="H784" s="5">
        <f>IF(G784="","",Rules!$B$1-G784)</f>
        <v/>
      </c>
      <c r="I784" s="5">
        <f>IF(F784="Address issue","address issue",IF(OR(F784="Delivered",F784="Returned to sender",G784=""),"",IF(AND(Rules!$B$3&lt;&gt;"",F784="Held at customs",H784&gt;=Rules!$B$3),"customs &gt;= "&amp;Rules!$B$3&amp;" days",IF(H784&gt;=Rules!$B$2,"idle &gt;= "&amp;Rules!$B$2&amp;" days",""))))</f>
        <v/>
      </c>
      <c r="J784" s="5">
        <f>IF(I784="","",IF(F784="Address issue",0,COUNTIF($I$2:$I$1001,"address issue"))+COUNTIFS($I$2:$I$1001,"?*",$F$2:$F$1001,IF(F784="Address issue","Address issue","&lt;&gt;Address issue"),$H$2:$H$1001,"&gt;"&amp;H784)+1)</f>
        <v/>
      </c>
    </row>
    <row r="785">
      <c r="A785" s="11" t="n">
        <v>100784</v>
      </c>
      <c r="B785" s="11" t="inlineStr">
        <is>
          <t>Канада</t>
        </is>
      </c>
      <c r="C785" s="11" t="inlineStr">
        <is>
          <t>PostLink</t>
        </is>
      </c>
      <c r="D785" s="11" t="inlineStr">
        <is>
          <t>PL64523814</t>
        </is>
      </c>
      <c r="E785" s="12" t="n">
        <v>46296</v>
      </c>
      <c r="F785" s="11" t="inlineStr">
        <is>
          <t>Delivered</t>
        </is>
      </c>
      <c r="G785" s="13" t="n">
        <v>46306</v>
      </c>
      <c r="H785" s="5">
        <f>IF(G785="","",Rules!$B$1-G785)</f>
        <v/>
      </c>
      <c r="I785" s="5">
        <f>IF(F785="Address issue","address issue",IF(OR(F785="Delivered",F785="Returned to sender",G785=""),"",IF(AND(Rules!$B$3&lt;&gt;"",F785="Held at customs",H785&gt;=Rules!$B$3),"customs &gt;= "&amp;Rules!$B$3&amp;" days",IF(H785&gt;=Rules!$B$2,"idle &gt;= "&amp;Rules!$B$2&amp;" days",""))))</f>
        <v/>
      </c>
      <c r="J785" s="5">
        <f>IF(I785="","",IF(F785="Address issue",0,COUNTIF($I$2:$I$1001,"address issue"))+COUNTIFS($I$2:$I$1001,"?*",$F$2:$F$1001,IF(F785="Address issue","Address issue","&lt;&gt;Address issue"),$H$2:$H$1001,"&gt;"&amp;H785)+1)</f>
        <v/>
      </c>
    </row>
    <row r="786">
      <c r="A786" s="11" t="n">
        <v>100785</v>
      </c>
      <c r="B786" s="11" t="inlineStr">
        <is>
          <t>Мексика</t>
        </is>
      </c>
      <c r="C786" s="11" t="inlineStr">
        <is>
          <t>AndesCargo</t>
        </is>
      </c>
      <c r="D786" s="11" t="inlineStr">
        <is>
          <t>AC81114109</t>
        </is>
      </c>
      <c r="E786" s="12" t="n">
        <v>46304</v>
      </c>
      <c r="F786" s="11" t="inlineStr">
        <is>
          <t>In transit</t>
        </is>
      </c>
      <c r="G786" s="13" t="n">
        <v>46306</v>
      </c>
      <c r="H786" s="5">
        <f>IF(G786="","",Rules!$B$1-G786)</f>
        <v/>
      </c>
      <c r="I786" s="5">
        <f>IF(F786="Address issue","address issue",IF(OR(F786="Delivered",F786="Returned to sender",G786=""),"",IF(AND(Rules!$B$3&lt;&gt;"",F786="Held at customs",H786&gt;=Rules!$B$3),"customs &gt;= "&amp;Rules!$B$3&amp;" days",IF(H786&gt;=Rules!$B$2,"idle &gt;= "&amp;Rules!$B$2&amp;" days",""))))</f>
        <v/>
      </c>
      <c r="J786" s="5">
        <f>IF(I786="","",IF(F786="Address issue",0,COUNTIF($I$2:$I$1001,"address issue"))+COUNTIFS($I$2:$I$1001,"?*",$F$2:$F$1001,IF(F786="Address issue","Address issue","&lt;&gt;Address issue"),$H$2:$H$1001,"&gt;"&amp;H786)+1)</f>
        <v/>
      </c>
    </row>
    <row r="787">
      <c r="A787" s="11" t="n">
        <v>100786</v>
      </c>
      <c r="B787" s="11" t="inlineStr">
        <is>
          <t>Бразилія</t>
        </is>
      </c>
      <c r="C787" s="11" t="inlineStr">
        <is>
          <t>SwiftParcel</t>
        </is>
      </c>
      <c r="D787" s="11" t="inlineStr">
        <is>
          <t>SP9051970</t>
        </is>
      </c>
      <c r="E787" s="12" t="n">
        <v>46303</v>
      </c>
      <c r="F787" s="11" t="inlineStr">
        <is>
          <t>In transit</t>
        </is>
      </c>
      <c r="G787" s="13" t="n">
        <v>46309</v>
      </c>
      <c r="H787" s="5">
        <f>IF(G787="","",Rules!$B$1-G787)</f>
        <v/>
      </c>
      <c r="I787" s="5">
        <f>IF(F787="Address issue","address issue",IF(OR(F787="Delivered",F787="Returned to sender",G787=""),"",IF(AND(Rules!$B$3&lt;&gt;"",F787="Held at customs",H787&gt;=Rules!$B$3),"customs &gt;= "&amp;Rules!$B$3&amp;" days",IF(H787&gt;=Rules!$B$2,"idle &gt;= "&amp;Rules!$B$2&amp;" days",""))))</f>
        <v/>
      </c>
      <c r="J787" s="5">
        <f>IF(I787="","",IF(F787="Address issue",0,COUNTIF($I$2:$I$1001,"address issue"))+COUNTIFS($I$2:$I$1001,"?*",$F$2:$F$1001,IF(F787="Address issue","Address issue","&lt;&gt;Address issue"),$H$2:$H$1001,"&gt;"&amp;H787)+1)</f>
        <v/>
      </c>
    </row>
    <row r="788">
      <c r="A788" s="11" t="n">
        <v>100787</v>
      </c>
      <c r="B788" s="11" t="inlineStr">
        <is>
          <t>Мексика</t>
        </is>
      </c>
      <c r="C788" s="11" t="inlineStr">
        <is>
          <t>AndesCargo</t>
        </is>
      </c>
      <c r="D788" s="11" t="inlineStr">
        <is>
          <t>AC66993938</t>
        </is>
      </c>
      <c r="E788" s="12" t="n">
        <v>46289</v>
      </c>
      <c r="F788" s="11" t="inlineStr">
        <is>
          <t>In transit</t>
        </is>
      </c>
      <c r="G788" s="12" t="n">
        <v>46292</v>
      </c>
      <c r="H788" s="5">
        <f>IF(G788="","",Rules!$B$1-G788)</f>
        <v/>
      </c>
      <c r="I788" s="5">
        <f>IF(F788="Address issue","address issue",IF(OR(F788="Delivered",F788="Returned to sender",G788=""),"",IF(AND(Rules!$B$3&lt;&gt;"",F788="Held at customs",H788&gt;=Rules!$B$3),"customs &gt;= "&amp;Rules!$B$3&amp;" days",IF(H788&gt;=Rules!$B$2,"idle &gt;= "&amp;Rules!$B$2&amp;" days",""))))</f>
        <v/>
      </c>
      <c r="J788" s="5">
        <f>IF(I788="","",IF(F788="Address issue",0,COUNTIF($I$2:$I$1001,"address issue"))+COUNTIFS($I$2:$I$1001,"?*",$F$2:$F$1001,IF(F788="Address issue","Address issue","&lt;&gt;Address issue"),$H$2:$H$1001,"&gt;"&amp;H788)+1)</f>
        <v/>
      </c>
    </row>
    <row r="789">
      <c r="A789" s="11" t="n">
        <v>100788</v>
      </c>
      <c r="B789" s="11" t="inlineStr">
        <is>
          <t>Канада</t>
        </is>
      </c>
      <c r="C789" s="11" t="inlineStr">
        <is>
          <t>PostLink</t>
        </is>
      </c>
      <c r="D789" s="11" t="inlineStr">
        <is>
          <t>PL43712749</t>
        </is>
      </c>
      <c r="E789" s="12" t="n">
        <v>46283</v>
      </c>
      <c r="F789" s="11" t="inlineStr">
        <is>
          <t>Delivered</t>
        </is>
      </c>
      <c r="G789" s="12" t="n">
        <v>46290</v>
      </c>
      <c r="H789" s="5">
        <f>IF(G789="","",Rules!$B$1-G789)</f>
        <v/>
      </c>
      <c r="I789" s="5">
        <f>IF(F789="Address issue","address issue",IF(OR(F789="Delivered",F789="Returned to sender",G789=""),"",IF(AND(Rules!$B$3&lt;&gt;"",F789="Held at customs",H789&gt;=Rules!$B$3),"customs &gt;= "&amp;Rules!$B$3&amp;" days",IF(H789&gt;=Rules!$B$2,"idle &gt;= "&amp;Rules!$B$2&amp;" days",""))))</f>
        <v/>
      </c>
      <c r="J789" s="5">
        <f>IF(I789="","",IF(F789="Address issue",0,COUNTIF($I$2:$I$1001,"address issue"))+COUNTIFS($I$2:$I$1001,"?*",$F$2:$F$1001,IF(F789="Address issue","Address issue","&lt;&gt;Address issue"),$H$2:$H$1001,"&gt;"&amp;H789)+1)</f>
        <v/>
      </c>
    </row>
    <row r="790">
      <c r="A790" s="11" t="n">
        <v>100789</v>
      </c>
      <c r="B790" s="11" t="inlineStr">
        <is>
          <t>Мексика</t>
        </is>
      </c>
      <c r="C790" s="11" t="inlineStr">
        <is>
          <t>AndesCargo</t>
        </is>
      </c>
      <c r="D790" s="11" t="inlineStr">
        <is>
          <t>AC63498887</t>
        </is>
      </c>
      <c r="E790" s="12" t="n">
        <v>46292</v>
      </c>
      <c r="F790" s="11" t="inlineStr">
        <is>
          <t>Delivered</t>
        </is>
      </c>
      <c r="G790" s="12" t="n">
        <v>46301</v>
      </c>
      <c r="H790" s="5">
        <f>IF(G790="","",Rules!$B$1-G790)</f>
        <v/>
      </c>
      <c r="I790" s="5">
        <f>IF(F790="Address issue","address issue",IF(OR(F790="Delivered",F790="Returned to sender",G790=""),"",IF(AND(Rules!$B$3&lt;&gt;"",F790="Held at customs",H790&gt;=Rules!$B$3),"customs &gt;= "&amp;Rules!$B$3&amp;" days",IF(H790&gt;=Rules!$B$2,"idle &gt;= "&amp;Rules!$B$2&amp;" days",""))))</f>
        <v/>
      </c>
      <c r="J790" s="5">
        <f>IF(I790="","",IF(F790="Address issue",0,COUNTIF($I$2:$I$1001,"address issue"))+COUNTIFS($I$2:$I$1001,"?*",$F$2:$F$1001,IF(F790="Address issue","Address issue","&lt;&gt;Address issue"),$H$2:$H$1001,"&gt;"&amp;H790)+1)</f>
        <v/>
      </c>
    </row>
    <row r="791">
      <c r="A791" s="11" t="n">
        <v>100790</v>
      </c>
      <c r="B791" s="11" t="inlineStr">
        <is>
          <t>Мексика</t>
        </is>
      </c>
      <c r="C791" s="11" t="inlineStr">
        <is>
          <t>AndesCargo</t>
        </is>
      </c>
      <c r="D791" s="11" t="inlineStr">
        <is>
          <t>AC65389408</t>
        </is>
      </c>
      <c r="E791" s="12" t="n">
        <v>46270</v>
      </c>
      <c r="F791" s="11" t="inlineStr">
        <is>
          <t>Delivered</t>
        </is>
      </c>
      <c r="G791" s="12" t="n">
        <v>46282</v>
      </c>
      <c r="H791" s="5">
        <f>IF(G791="","",Rules!$B$1-G791)</f>
        <v/>
      </c>
      <c r="I791" s="5">
        <f>IF(F791="Address issue","address issue",IF(OR(F791="Delivered",F791="Returned to sender",G791=""),"",IF(AND(Rules!$B$3&lt;&gt;"",F791="Held at customs",H791&gt;=Rules!$B$3),"customs &gt;= "&amp;Rules!$B$3&amp;" days",IF(H791&gt;=Rules!$B$2,"idle &gt;= "&amp;Rules!$B$2&amp;" days",""))))</f>
        <v/>
      </c>
      <c r="J791" s="5">
        <f>IF(I791="","",IF(F791="Address issue",0,COUNTIF($I$2:$I$1001,"address issue"))+COUNTIFS($I$2:$I$1001,"?*",$F$2:$F$1001,IF(F791="Address issue","Address issue","&lt;&gt;Address issue"),$H$2:$H$1001,"&gt;"&amp;H791)+1)</f>
        <v/>
      </c>
    </row>
    <row r="792">
      <c r="A792" s="11" t="n">
        <v>100791</v>
      </c>
      <c r="B792" s="11" t="inlineStr">
        <is>
          <t>Канада</t>
        </is>
      </c>
      <c r="C792" s="11" t="inlineStr">
        <is>
          <t>PostLink</t>
        </is>
      </c>
      <c r="D792" s="11" t="inlineStr">
        <is>
          <t>PL95496286</t>
        </is>
      </c>
      <c r="E792" s="12" t="n">
        <v>46288</v>
      </c>
      <c r="F792" s="11" t="inlineStr">
        <is>
          <t>Delivered</t>
        </is>
      </c>
      <c r="G792" s="12" t="n">
        <v>46295</v>
      </c>
      <c r="H792" s="5">
        <f>IF(G792="","",Rules!$B$1-G792)</f>
        <v/>
      </c>
      <c r="I792" s="5">
        <f>IF(F792="Address issue","address issue",IF(OR(F792="Delivered",F792="Returned to sender",G792=""),"",IF(AND(Rules!$B$3&lt;&gt;"",F792="Held at customs",H792&gt;=Rules!$B$3),"customs &gt;= "&amp;Rules!$B$3&amp;" days",IF(H792&gt;=Rules!$B$2,"idle &gt;= "&amp;Rules!$B$2&amp;" days",""))))</f>
        <v/>
      </c>
      <c r="J792" s="5">
        <f>IF(I792="","",IF(F792="Address issue",0,COUNTIF($I$2:$I$1001,"address issue"))+COUNTIFS($I$2:$I$1001,"?*",$F$2:$F$1001,IF(F792="Address issue","Address issue","&lt;&gt;Address issue"),$H$2:$H$1001,"&gt;"&amp;H792)+1)</f>
        <v/>
      </c>
    </row>
    <row r="793">
      <c r="A793" s="11" t="n">
        <v>100792</v>
      </c>
      <c r="B793" s="11" t="inlineStr">
        <is>
          <t>Канада</t>
        </is>
      </c>
      <c r="C793" s="11" t="inlineStr">
        <is>
          <t>PostLink</t>
        </is>
      </c>
      <c r="D793" s="11" t="inlineStr">
        <is>
          <t>PL73288810</t>
        </is>
      </c>
      <c r="E793" s="12" t="n">
        <v>46268</v>
      </c>
      <c r="F793" s="11" t="inlineStr">
        <is>
          <t>Delivered</t>
        </is>
      </c>
      <c r="G793" s="12" t="n">
        <v>46280</v>
      </c>
      <c r="H793" s="5">
        <f>IF(G793="","",Rules!$B$1-G793)</f>
        <v/>
      </c>
      <c r="I793" s="5">
        <f>IF(F793="Address issue","address issue",IF(OR(F793="Delivered",F793="Returned to sender",G793=""),"",IF(AND(Rules!$B$3&lt;&gt;"",F793="Held at customs",H793&gt;=Rules!$B$3),"customs &gt;= "&amp;Rules!$B$3&amp;" days",IF(H793&gt;=Rules!$B$2,"idle &gt;= "&amp;Rules!$B$2&amp;" days",""))))</f>
        <v/>
      </c>
      <c r="J793" s="5">
        <f>IF(I793="","",IF(F793="Address issue",0,COUNTIF($I$2:$I$1001,"address issue"))+COUNTIFS($I$2:$I$1001,"?*",$F$2:$F$1001,IF(F793="Address issue","Address issue","&lt;&gt;Address issue"),$H$2:$H$1001,"&gt;"&amp;H793)+1)</f>
        <v/>
      </c>
    </row>
    <row r="794">
      <c r="A794" s="11" t="n">
        <v>100793</v>
      </c>
      <c r="B794" s="11" t="inlineStr">
        <is>
          <t>Мексика</t>
        </is>
      </c>
      <c r="C794" s="11" t="inlineStr">
        <is>
          <t>AndesCargo</t>
        </is>
      </c>
      <c r="D794" s="11" t="inlineStr">
        <is>
          <t>AC56258803</t>
        </is>
      </c>
      <c r="E794" s="12" t="n">
        <v>46275</v>
      </c>
      <c r="F794" s="11" t="inlineStr">
        <is>
          <t>Delivered</t>
        </is>
      </c>
      <c r="G794" s="12" t="n">
        <v>46285</v>
      </c>
      <c r="H794" s="5">
        <f>IF(G794="","",Rules!$B$1-G794)</f>
        <v/>
      </c>
      <c r="I794" s="5">
        <f>IF(F794="Address issue","address issue",IF(OR(F794="Delivered",F794="Returned to sender",G794=""),"",IF(AND(Rules!$B$3&lt;&gt;"",F794="Held at customs",H794&gt;=Rules!$B$3),"customs &gt;= "&amp;Rules!$B$3&amp;" days",IF(H794&gt;=Rules!$B$2,"idle &gt;= "&amp;Rules!$B$2&amp;" days",""))))</f>
        <v/>
      </c>
      <c r="J794" s="5">
        <f>IF(I794="","",IF(F794="Address issue",0,COUNTIF($I$2:$I$1001,"address issue"))+COUNTIFS($I$2:$I$1001,"?*",$F$2:$F$1001,IF(F794="Address issue","Address issue","&lt;&gt;Address issue"),$H$2:$H$1001,"&gt;"&amp;H794)+1)</f>
        <v/>
      </c>
    </row>
    <row r="795">
      <c r="A795" s="11" t="n">
        <v>100794</v>
      </c>
      <c r="B795" s="11" t="inlineStr">
        <is>
          <t>Бразилія</t>
        </is>
      </c>
      <c r="C795" s="11" t="inlineStr">
        <is>
          <t>SwiftParcel</t>
        </is>
      </c>
      <c r="D795" s="11" t="inlineStr">
        <is>
          <t>SP3536533</t>
        </is>
      </c>
      <c r="E795" s="12" t="n">
        <v>46272</v>
      </c>
      <c r="F795" s="11" t="inlineStr">
        <is>
          <t>Delivered</t>
        </is>
      </c>
      <c r="G795" s="12" t="n">
        <v>46282</v>
      </c>
      <c r="H795" s="5">
        <f>IF(G795="","",Rules!$B$1-G795)</f>
        <v/>
      </c>
      <c r="I795" s="5">
        <f>IF(F795="Address issue","address issue",IF(OR(F795="Delivered",F795="Returned to sender",G795=""),"",IF(AND(Rules!$B$3&lt;&gt;"",F795="Held at customs",H795&gt;=Rules!$B$3),"customs &gt;= "&amp;Rules!$B$3&amp;" days",IF(H795&gt;=Rules!$B$2,"idle &gt;= "&amp;Rules!$B$2&amp;" days",""))))</f>
        <v/>
      </c>
      <c r="J795" s="5">
        <f>IF(I795="","",IF(F795="Address issue",0,COUNTIF($I$2:$I$1001,"address issue"))+COUNTIFS($I$2:$I$1001,"?*",$F$2:$F$1001,IF(F795="Address issue","Address issue","&lt;&gt;Address issue"),$H$2:$H$1001,"&gt;"&amp;H795)+1)</f>
        <v/>
      </c>
    </row>
    <row r="796">
      <c r="A796" s="11" t="n">
        <v>100795</v>
      </c>
      <c r="B796" s="11" t="inlineStr">
        <is>
          <t>Бразилія</t>
        </is>
      </c>
      <c r="C796" s="11" t="inlineStr">
        <is>
          <t>AndesCargo</t>
        </is>
      </c>
      <c r="D796" s="11" t="inlineStr">
        <is>
          <t>AC84270950</t>
        </is>
      </c>
      <c r="E796" s="12" t="n">
        <v>46282</v>
      </c>
      <c r="F796" s="11" t="inlineStr">
        <is>
          <t>Delivered</t>
        </is>
      </c>
      <c r="G796" s="12" t="n">
        <v>46286</v>
      </c>
      <c r="H796" s="5">
        <f>IF(G796="","",Rules!$B$1-G796)</f>
        <v/>
      </c>
      <c r="I796" s="5">
        <f>IF(F796="Address issue","address issue",IF(OR(F796="Delivered",F796="Returned to sender",G796=""),"",IF(AND(Rules!$B$3&lt;&gt;"",F796="Held at customs",H796&gt;=Rules!$B$3),"customs &gt;= "&amp;Rules!$B$3&amp;" days",IF(H796&gt;=Rules!$B$2,"idle &gt;= "&amp;Rules!$B$2&amp;" days",""))))</f>
        <v/>
      </c>
      <c r="J796" s="5">
        <f>IF(I796="","",IF(F796="Address issue",0,COUNTIF($I$2:$I$1001,"address issue"))+COUNTIFS($I$2:$I$1001,"?*",$F$2:$F$1001,IF(F796="Address issue","Address issue","&lt;&gt;Address issue"),$H$2:$H$1001,"&gt;"&amp;H796)+1)</f>
        <v/>
      </c>
    </row>
    <row r="797">
      <c r="A797" s="11" t="n">
        <v>100796</v>
      </c>
      <c r="B797" s="11" t="inlineStr">
        <is>
          <t>Мексика</t>
        </is>
      </c>
      <c r="C797" s="11" t="inlineStr">
        <is>
          <t>AndesCargo</t>
        </is>
      </c>
      <c r="D797" s="11" t="inlineStr">
        <is>
          <t>AC93964016</t>
        </is>
      </c>
      <c r="E797" s="12" t="n">
        <v>46301</v>
      </c>
      <c r="F797" s="11" t="inlineStr">
        <is>
          <t>Returned to sender</t>
        </is>
      </c>
      <c r="G797" s="13" t="n">
        <v>46308</v>
      </c>
      <c r="H797" s="5">
        <f>IF(G797="","",Rules!$B$1-G797)</f>
        <v/>
      </c>
      <c r="I797" s="5">
        <f>IF(F797="Address issue","address issue",IF(OR(F797="Delivered",F797="Returned to sender",G797=""),"",IF(AND(Rules!$B$3&lt;&gt;"",F797="Held at customs",H797&gt;=Rules!$B$3),"customs &gt;= "&amp;Rules!$B$3&amp;" days",IF(H797&gt;=Rules!$B$2,"idle &gt;= "&amp;Rules!$B$2&amp;" days",""))))</f>
        <v/>
      </c>
      <c r="J797" s="5">
        <f>IF(I797="","",IF(F797="Address issue",0,COUNTIF($I$2:$I$1001,"address issue"))+COUNTIFS($I$2:$I$1001,"?*",$F$2:$F$1001,IF(F797="Address issue","Address issue","&lt;&gt;Address issue"),$H$2:$H$1001,"&gt;"&amp;H797)+1)</f>
        <v/>
      </c>
    </row>
    <row r="798">
      <c r="A798" s="11" t="n">
        <v>100797</v>
      </c>
      <c r="B798" s="11" t="inlineStr">
        <is>
          <t>Мексика</t>
        </is>
      </c>
      <c r="C798" s="11" t="inlineStr">
        <is>
          <t>AndesCargo</t>
        </is>
      </c>
      <c r="D798" s="11" t="inlineStr">
        <is>
          <t>AC97978029</t>
        </is>
      </c>
      <c r="E798" s="12" t="n">
        <v>46288</v>
      </c>
      <c r="F798" s="11" t="inlineStr">
        <is>
          <t>Delivered</t>
        </is>
      </c>
      <c r="G798" s="12" t="n">
        <v>46291</v>
      </c>
      <c r="H798" s="5">
        <f>IF(G798="","",Rules!$B$1-G798)</f>
        <v/>
      </c>
      <c r="I798" s="5">
        <f>IF(F798="Address issue","address issue",IF(OR(F798="Delivered",F798="Returned to sender",G798=""),"",IF(AND(Rules!$B$3&lt;&gt;"",F798="Held at customs",H798&gt;=Rules!$B$3),"customs &gt;= "&amp;Rules!$B$3&amp;" days",IF(H798&gt;=Rules!$B$2,"idle &gt;= "&amp;Rules!$B$2&amp;" days",""))))</f>
        <v/>
      </c>
      <c r="J798" s="5">
        <f>IF(I798="","",IF(F798="Address issue",0,COUNTIF($I$2:$I$1001,"address issue"))+COUNTIFS($I$2:$I$1001,"?*",$F$2:$F$1001,IF(F798="Address issue","Address issue","&lt;&gt;Address issue"),$H$2:$H$1001,"&gt;"&amp;H798)+1)</f>
        <v/>
      </c>
    </row>
    <row r="799">
      <c r="A799" s="11" t="n">
        <v>100798</v>
      </c>
      <c r="B799" s="11" t="inlineStr">
        <is>
          <t>Бразилія</t>
        </is>
      </c>
      <c r="C799" s="11" t="inlineStr">
        <is>
          <t>SwiftParcel</t>
        </is>
      </c>
      <c r="D799" s="11" t="inlineStr">
        <is>
          <t>SP7591431</t>
        </is>
      </c>
      <c r="E799" s="12" t="n">
        <v>46292</v>
      </c>
      <c r="F799" s="11" t="inlineStr">
        <is>
          <t>Delivered</t>
        </is>
      </c>
      <c r="G799" s="12" t="n">
        <v>46302</v>
      </c>
      <c r="H799" s="5">
        <f>IF(G799="","",Rules!$B$1-G799)</f>
        <v/>
      </c>
      <c r="I799" s="5">
        <f>IF(F799="Address issue","address issue",IF(OR(F799="Delivered",F799="Returned to sender",G799=""),"",IF(AND(Rules!$B$3&lt;&gt;"",F799="Held at customs",H799&gt;=Rules!$B$3),"customs &gt;= "&amp;Rules!$B$3&amp;" days",IF(H799&gt;=Rules!$B$2,"idle &gt;= "&amp;Rules!$B$2&amp;" days",""))))</f>
        <v/>
      </c>
      <c r="J799" s="5">
        <f>IF(I799="","",IF(F799="Address issue",0,COUNTIF($I$2:$I$1001,"address issue"))+COUNTIFS($I$2:$I$1001,"?*",$F$2:$F$1001,IF(F799="Address issue","Address issue","&lt;&gt;Address issue"),$H$2:$H$1001,"&gt;"&amp;H799)+1)</f>
        <v/>
      </c>
    </row>
    <row r="800">
      <c r="A800" s="11" t="n">
        <v>100799</v>
      </c>
      <c r="B800" s="11" t="inlineStr">
        <is>
          <t>Мексика</t>
        </is>
      </c>
      <c r="C800" s="11" t="inlineStr">
        <is>
          <t>AndesCargo</t>
        </is>
      </c>
      <c r="D800" s="11" t="inlineStr">
        <is>
          <t>AC81163886</t>
        </is>
      </c>
      <c r="E800" s="12" t="n">
        <v>46292</v>
      </c>
      <c r="F800" s="11" t="inlineStr">
        <is>
          <t>Delivered</t>
        </is>
      </c>
      <c r="G800" s="12" t="n">
        <v>46302</v>
      </c>
      <c r="H800" s="5">
        <f>IF(G800="","",Rules!$B$1-G800)</f>
        <v/>
      </c>
      <c r="I800" s="5">
        <f>IF(F800="Address issue","address issue",IF(OR(F800="Delivered",F800="Returned to sender",G800=""),"",IF(AND(Rules!$B$3&lt;&gt;"",F800="Held at customs",H800&gt;=Rules!$B$3),"customs &gt;= "&amp;Rules!$B$3&amp;" days",IF(H800&gt;=Rules!$B$2,"idle &gt;= "&amp;Rules!$B$2&amp;" days",""))))</f>
        <v/>
      </c>
      <c r="J800" s="5">
        <f>IF(I800="","",IF(F800="Address issue",0,COUNTIF($I$2:$I$1001,"address issue"))+COUNTIFS($I$2:$I$1001,"?*",$F$2:$F$1001,IF(F800="Address issue","Address issue","&lt;&gt;Address issue"),$H$2:$H$1001,"&gt;"&amp;H800)+1)</f>
        <v/>
      </c>
    </row>
    <row r="801">
      <c r="A801" s="11" t="n">
        <v>100800</v>
      </c>
      <c r="B801" s="11" t="inlineStr">
        <is>
          <t>Канада</t>
        </is>
      </c>
      <c r="C801" s="11" t="inlineStr">
        <is>
          <t>PostLink</t>
        </is>
      </c>
      <c r="D801" s="11" t="inlineStr">
        <is>
          <t>PL26337112</t>
        </is>
      </c>
      <c r="E801" s="12" t="n">
        <v>46278</v>
      </c>
      <c r="F801" s="11" t="inlineStr">
        <is>
          <t>Delivered</t>
        </is>
      </c>
      <c r="G801" s="12" t="n">
        <v>46287</v>
      </c>
      <c r="H801" s="5">
        <f>IF(G801="","",Rules!$B$1-G801)</f>
        <v/>
      </c>
      <c r="I801" s="5">
        <f>IF(F801="Address issue","address issue",IF(OR(F801="Delivered",F801="Returned to sender",G801=""),"",IF(AND(Rules!$B$3&lt;&gt;"",F801="Held at customs",H801&gt;=Rules!$B$3),"customs &gt;= "&amp;Rules!$B$3&amp;" days",IF(H801&gt;=Rules!$B$2,"idle &gt;= "&amp;Rules!$B$2&amp;" days",""))))</f>
        <v/>
      </c>
      <c r="J801" s="5">
        <f>IF(I801="","",IF(F801="Address issue",0,COUNTIF($I$2:$I$1001,"address issue"))+COUNTIFS($I$2:$I$1001,"?*",$F$2:$F$1001,IF(F801="Address issue","Address issue","&lt;&gt;Address issue"),$H$2:$H$1001,"&gt;"&amp;H801)+1)</f>
        <v/>
      </c>
    </row>
    <row r="802">
      <c r="A802" s="11" t="n">
        <v>100801</v>
      </c>
      <c r="B802" s="11" t="inlineStr">
        <is>
          <t>Бразилія</t>
        </is>
      </c>
      <c r="C802" s="11" t="inlineStr">
        <is>
          <t>SwiftParcel</t>
        </is>
      </c>
      <c r="D802" s="11" t="inlineStr">
        <is>
          <t>SP8868813</t>
        </is>
      </c>
      <c r="E802" s="12" t="n">
        <v>46301</v>
      </c>
      <c r="F802" s="11" t="inlineStr">
        <is>
          <t>Held at customs</t>
        </is>
      </c>
      <c r="G802" s="12" t="n">
        <v>46304</v>
      </c>
      <c r="H802" s="5">
        <f>IF(G802="","",Rules!$B$1-G802)</f>
        <v/>
      </c>
      <c r="I802" s="5">
        <f>IF(F802="Address issue","address issue",IF(OR(F802="Delivered",F802="Returned to sender",G802=""),"",IF(AND(Rules!$B$3&lt;&gt;"",F802="Held at customs",H802&gt;=Rules!$B$3),"customs &gt;= "&amp;Rules!$B$3&amp;" days",IF(H802&gt;=Rules!$B$2,"idle &gt;= "&amp;Rules!$B$2&amp;" days",""))))</f>
        <v/>
      </c>
      <c r="J802" s="5">
        <f>IF(I802="","",IF(F802="Address issue",0,COUNTIF($I$2:$I$1001,"address issue"))+COUNTIFS($I$2:$I$1001,"?*",$F$2:$F$1001,IF(F802="Address issue","Address issue","&lt;&gt;Address issue"),$H$2:$H$1001,"&gt;"&amp;H802)+1)</f>
        <v/>
      </c>
    </row>
    <row r="803">
      <c r="A803" s="11" t="n">
        <v>100802</v>
      </c>
      <c r="B803" s="11" t="inlineStr">
        <is>
          <t>Мексика</t>
        </is>
      </c>
      <c r="C803" s="11" t="inlineStr">
        <is>
          <t>AndesCargo</t>
        </is>
      </c>
      <c r="D803" s="11" t="inlineStr">
        <is>
          <t>AC76301961</t>
        </is>
      </c>
      <c r="E803" s="12" t="n">
        <v>46303</v>
      </c>
      <c r="F803" s="11" t="inlineStr">
        <is>
          <t>In transit</t>
        </is>
      </c>
      <c r="G803" s="13" t="n">
        <v>46306</v>
      </c>
      <c r="H803" s="5">
        <f>IF(G803="","",Rules!$B$1-G803)</f>
        <v/>
      </c>
      <c r="I803" s="5">
        <f>IF(F803="Address issue","address issue",IF(OR(F803="Delivered",F803="Returned to sender",G803=""),"",IF(AND(Rules!$B$3&lt;&gt;"",F803="Held at customs",H803&gt;=Rules!$B$3),"customs &gt;= "&amp;Rules!$B$3&amp;" days",IF(H803&gt;=Rules!$B$2,"idle &gt;= "&amp;Rules!$B$2&amp;" days",""))))</f>
        <v/>
      </c>
      <c r="J803" s="5">
        <f>IF(I803="","",IF(F803="Address issue",0,COUNTIF($I$2:$I$1001,"address issue"))+COUNTIFS($I$2:$I$1001,"?*",$F$2:$F$1001,IF(F803="Address issue","Address issue","&lt;&gt;Address issue"),$H$2:$H$1001,"&gt;"&amp;H803)+1)</f>
        <v/>
      </c>
    </row>
    <row r="804">
      <c r="A804" s="11" t="n">
        <v>100803</v>
      </c>
      <c r="B804" s="11" t="inlineStr">
        <is>
          <t>Мексика</t>
        </is>
      </c>
      <c r="C804" s="11" t="inlineStr">
        <is>
          <t>AndesCargo</t>
        </is>
      </c>
      <c r="D804" s="11" t="inlineStr">
        <is>
          <t>AC54885825</t>
        </is>
      </c>
      <c r="E804" s="12" t="n">
        <v>46299</v>
      </c>
      <c r="F804" s="11" t="inlineStr">
        <is>
          <t>Held at customs</t>
        </is>
      </c>
      <c r="G804" s="13" t="n">
        <v>46306</v>
      </c>
      <c r="H804" s="5">
        <f>IF(G804="","",Rules!$B$1-G804)</f>
        <v/>
      </c>
      <c r="I804" s="5">
        <f>IF(F804="Address issue","address issue",IF(OR(F804="Delivered",F804="Returned to sender",G804=""),"",IF(AND(Rules!$B$3&lt;&gt;"",F804="Held at customs",H804&gt;=Rules!$B$3),"customs &gt;= "&amp;Rules!$B$3&amp;" days",IF(H804&gt;=Rules!$B$2,"idle &gt;= "&amp;Rules!$B$2&amp;" days",""))))</f>
        <v/>
      </c>
      <c r="J804" s="5">
        <f>IF(I804="","",IF(F804="Address issue",0,COUNTIF($I$2:$I$1001,"address issue"))+COUNTIFS($I$2:$I$1001,"?*",$F$2:$F$1001,IF(F804="Address issue","Address issue","&lt;&gt;Address issue"),$H$2:$H$1001,"&gt;"&amp;H804)+1)</f>
        <v/>
      </c>
    </row>
    <row r="805">
      <c r="A805" s="11" t="n">
        <v>100804</v>
      </c>
      <c r="B805" s="11" t="inlineStr">
        <is>
          <t>Бразилія</t>
        </is>
      </c>
      <c r="C805" s="11" t="inlineStr">
        <is>
          <t>SwiftParcel</t>
        </is>
      </c>
      <c r="D805" s="11" t="inlineStr">
        <is>
          <t>SP8313454</t>
        </is>
      </c>
      <c r="E805" s="12" t="n">
        <v>46298</v>
      </c>
      <c r="F805" s="11" t="inlineStr">
        <is>
          <t>Delivered</t>
        </is>
      </c>
      <c r="G805" s="12" t="n">
        <v>46301</v>
      </c>
      <c r="H805" s="5">
        <f>IF(G805="","",Rules!$B$1-G805)</f>
        <v/>
      </c>
      <c r="I805" s="5">
        <f>IF(F805="Address issue","address issue",IF(OR(F805="Delivered",F805="Returned to sender",G805=""),"",IF(AND(Rules!$B$3&lt;&gt;"",F805="Held at customs",H805&gt;=Rules!$B$3),"customs &gt;= "&amp;Rules!$B$3&amp;" days",IF(H805&gt;=Rules!$B$2,"idle &gt;= "&amp;Rules!$B$2&amp;" days",""))))</f>
        <v/>
      </c>
      <c r="J805" s="5">
        <f>IF(I805="","",IF(F805="Address issue",0,COUNTIF($I$2:$I$1001,"address issue"))+COUNTIFS($I$2:$I$1001,"?*",$F$2:$F$1001,IF(F805="Address issue","Address issue","&lt;&gt;Address issue"),$H$2:$H$1001,"&gt;"&amp;H805)+1)</f>
        <v/>
      </c>
    </row>
    <row r="806">
      <c r="A806" s="11" t="n">
        <v>100805</v>
      </c>
      <c r="B806" s="11" t="inlineStr">
        <is>
          <t>Бразилія</t>
        </is>
      </c>
      <c r="C806" s="11" t="inlineStr">
        <is>
          <t>SwiftParcel</t>
        </is>
      </c>
      <c r="D806" s="11" t="inlineStr">
        <is>
          <t>SP7790376</t>
        </is>
      </c>
      <c r="E806" s="12" t="n">
        <v>46284</v>
      </c>
      <c r="F806" s="11" t="inlineStr">
        <is>
          <t>Delivered</t>
        </is>
      </c>
      <c r="G806" s="12" t="n">
        <v>46292</v>
      </c>
      <c r="H806" s="5">
        <f>IF(G806="","",Rules!$B$1-G806)</f>
        <v/>
      </c>
      <c r="I806" s="5">
        <f>IF(F806="Address issue","address issue",IF(OR(F806="Delivered",F806="Returned to sender",G806=""),"",IF(AND(Rules!$B$3&lt;&gt;"",F806="Held at customs",H806&gt;=Rules!$B$3),"customs &gt;= "&amp;Rules!$B$3&amp;" days",IF(H806&gt;=Rules!$B$2,"idle &gt;= "&amp;Rules!$B$2&amp;" days",""))))</f>
        <v/>
      </c>
      <c r="J806" s="5">
        <f>IF(I806="","",IF(F806="Address issue",0,COUNTIF($I$2:$I$1001,"address issue"))+COUNTIFS($I$2:$I$1001,"?*",$F$2:$F$1001,IF(F806="Address issue","Address issue","&lt;&gt;Address issue"),$H$2:$H$1001,"&gt;"&amp;H806)+1)</f>
        <v/>
      </c>
    </row>
    <row r="807">
      <c r="A807" s="11" t="n">
        <v>100806</v>
      </c>
      <c r="B807" s="11" t="inlineStr">
        <is>
          <t>Мексика</t>
        </is>
      </c>
      <c r="C807" s="11" t="inlineStr">
        <is>
          <t>AndesCargo</t>
        </is>
      </c>
      <c r="D807" s="11" t="inlineStr">
        <is>
          <t>AC56973192</t>
        </is>
      </c>
      <c r="E807" s="12" t="n">
        <v>46275</v>
      </c>
      <c r="F807" s="11" t="inlineStr">
        <is>
          <t>Delivered</t>
        </is>
      </c>
      <c r="G807" s="12" t="n">
        <v>46284</v>
      </c>
      <c r="H807" s="5">
        <f>IF(G807="","",Rules!$B$1-G807)</f>
        <v/>
      </c>
      <c r="I807" s="5">
        <f>IF(F807="Address issue","address issue",IF(OR(F807="Delivered",F807="Returned to sender",G807=""),"",IF(AND(Rules!$B$3&lt;&gt;"",F807="Held at customs",H807&gt;=Rules!$B$3),"customs &gt;= "&amp;Rules!$B$3&amp;" days",IF(H807&gt;=Rules!$B$2,"idle &gt;= "&amp;Rules!$B$2&amp;" days",""))))</f>
        <v/>
      </c>
      <c r="J807" s="5">
        <f>IF(I807="","",IF(F807="Address issue",0,COUNTIF($I$2:$I$1001,"address issue"))+COUNTIFS($I$2:$I$1001,"?*",$F$2:$F$1001,IF(F807="Address issue","Address issue","&lt;&gt;Address issue"),$H$2:$H$1001,"&gt;"&amp;H807)+1)</f>
        <v/>
      </c>
    </row>
    <row r="808">
      <c r="A808" s="11" t="n">
        <v>100807</v>
      </c>
      <c r="B808" s="11" t="inlineStr">
        <is>
          <t>Мексика</t>
        </is>
      </c>
      <c r="C808" s="11" t="inlineStr">
        <is>
          <t>SwiftParcel</t>
        </is>
      </c>
      <c r="D808" s="11" t="inlineStr">
        <is>
          <t>SP3020216</t>
        </is>
      </c>
      <c r="E808" s="12" t="n">
        <v>46291</v>
      </c>
      <c r="F808" s="11" t="inlineStr">
        <is>
          <t>Held at customs</t>
        </is>
      </c>
      <c r="G808" s="12" t="n">
        <v>46296</v>
      </c>
      <c r="H808" s="5">
        <f>IF(G808="","",Rules!$B$1-G808)</f>
        <v/>
      </c>
      <c r="I808" s="5">
        <f>IF(F808="Address issue","address issue",IF(OR(F808="Delivered",F808="Returned to sender",G808=""),"",IF(AND(Rules!$B$3&lt;&gt;"",F808="Held at customs",H808&gt;=Rules!$B$3),"customs &gt;= "&amp;Rules!$B$3&amp;" days",IF(H808&gt;=Rules!$B$2,"idle &gt;= "&amp;Rules!$B$2&amp;" days",""))))</f>
        <v/>
      </c>
      <c r="J808" s="5">
        <f>IF(I808="","",IF(F808="Address issue",0,COUNTIF($I$2:$I$1001,"address issue"))+COUNTIFS($I$2:$I$1001,"?*",$F$2:$F$1001,IF(F808="Address issue","Address issue","&lt;&gt;Address issue"),$H$2:$H$1001,"&gt;"&amp;H808)+1)</f>
        <v/>
      </c>
    </row>
    <row r="809">
      <c r="A809" s="11" t="n">
        <v>100808</v>
      </c>
      <c r="B809" s="11" t="inlineStr">
        <is>
          <t>Мексика</t>
        </is>
      </c>
      <c r="C809" s="11" t="inlineStr">
        <is>
          <t>AndesCargo</t>
        </is>
      </c>
      <c r="D809" s="11" t="inlineStr">
        <is>
          <t>AC88883561</t>
        </is>
      </c>
      <c r="E809" s="12" t="n">
        <v>46295</v>
      </c>
      <c r="F809" s="11" t="inlineStr">
        <is>
          <t>Delivered</t>
        </is>
      </c>
      <c r="G809" s="12" t="n">
        <v>46301</v>
      </c>
      <c r="H809" s="5">
        <f>IF(G809="","",Rules!$B$1-G809)</f>
        <v/>
      </c>
      <c r="I809" s="5">
        <f>IF(F809="Address issue","address issue",IF(OR(F809="Delivered",F809="Returned to sender",G809=""),"",IF(AND(Rules!$B$3&lt;&gt;"",F809="Held at customs",H809&gt;=Rules!$B$3),"customs &gt;= "&amp;Rules!$B$3&amp;" days",IF(H809&gt;=Rules!$B$2,"idle &gt;= "&amp;Rules!$B$2&amp;" days",""))))</f>
        <v/>
      </c>
      <c r="J809" s="5">
        <f>IF(I809="","",IF(F809="Address issue",0,COUNTIF($I$2:$I$1001,"address issue"))+COUNTIFS($I$2:$I$1001,"?*",$F$2:$F$1001,IF(F809="Address issue","Address issue","&lt;&gt;Address issue"),$H$2:$H$1001,"&gt;"&amp;H809)+1)</f>
        <v/>
      </c>
    </row>
    <row r="810">
      <c r="A810" s="11" t="n">
        <v>100809</v>
      </c>
      <c r="B810" s="11" t="inlineStr">
        <is>
          <t>Мексика</t>
        </is>
      </c>
      <c r="C810" s="11" t="inlineStr">
        <is>
          <t>AndesCargo</t>
        </is>
      </c>
      <c r="D810" s="11" t="inlineStr">
        <is>
          <t>AC24818679</t>
        </is>
      </c>
      <c r="E810" s="12" t="n">
        <v>46302</v>
      </c>
      <c r="F810" s="11" t="inlineStr">
        <is>
          <t>Out for delivery</t>
        </is>
      </c>
      <c r="G810" s="13" t="n">
        <v>46308</v>
      </c>
      <c r="H810" s="5">
        <f>IF(G810="","",Rules!$B$1-G810)</f>
        <v/>
      </c>
      <c r="I810" s="5">
        <f>IF(F810="Address issue","address issue",IF(OR(F810="Delivered",F810="Returned to sender",G810=""),"",IF(AND(Rules!$B$3&lt;&gt;"",F810="Held at customs",H810&gt;=Rules!$B$3),"customs &gt;= "&amp;Rules!$B$3&amp;" days",IF(H810&gt;=Rules!$B$2,"idle &gt;= "&amp;Rules!$B$2&amp;" days",""))))</f>
        <v/>
      </c>
      <c r="J810" s="5">
        <f>IF(I810="","",IF(F810="Address issue",0,COUNTIF($I$2:$I$1001,"address issue"))+COUNTIFS($I$2:$I$1001,"?*",$F$2:$F$1001,IF(F810="Address issue","Address issue","&lt;&gt;Address issue"),$H$2:$H$1001,"&gt;"&amp;H810)+1)</f>
        <v/>
      </c>
    </row>
    <row r="811">
      <c r="A811" s="11" t="n">
        <v>100810</v>
      </c>
      <c r="B811" s="11" t="inlineStr">
        <is>
          <t>Бразилія</t>
        </is>
      </c>
      <c r="C811" s="11" t="inlineStr">
        <is>
          <t>SwiftParcel</t>
        </is>
      </c>
      <c r="D811" s="11" t="inlineStr">
        <is>
          <t>SP7253533</t>
        </is>
      </c>
      <c r="E811" s="12" t="n">
        <v>46286</v>
      </c>
      <c r="F811" s="11" t="inlineStr">
        <is>
          <t>Delivered</t>
        </is>
      </c>
      <c r="G811" s="12" t="n">
        <v>46293</v>
      </c>
      <c r="H811" s="5">
        <f>IF(G811="","",Rules!$B$1-G811)</f>
        <v/>
      </c>
      <c r="I811" s="5">
        <f>IF(F811="Address issue","address issue",IF(OR(F811="Delivered",F811="Returned to sender",G811=""),"",IF(AND(Rules!$B$3&lt;&gt;"",F811="Held at customs",H811&gt;=Rules!$B$3),"customs &gt;= "&amp;Rules!$B$3&amp;" days",IF(H811&gt;=Rules!$B$2,"idle &gt;= "&amp;Rules!$B$2&amp;" days",""))))</f>
        <v/>
      </c>
      <c r="J811" s="5">
        <f>IF(I811="","",IF(F811="Address issue",0,COUNTIF($I$2:$I$1001,"address issue"))+COUNTIFS($I$2:$I$1001,"?*",$F$2:$F$1001,IF(F811="Address issue","Address issue","&lt;&gt;Address issue"),$H$2:$H$1001,"&gt;"&amp;H811)+1)</f>
        <v/>
      </c>
    </row>
    <row r="812">
      <c r="A812" s="11" t="n">
        <v>100811</v>
      </c>
      <c r="B812" s="11" t="inlineStr">
        <is>
          <t>Бразилія</t>
        </is>
      </c>
      <c r="C812" s="11" t="inlineStr">
        <is>
          <t>SwiftParcel</t>
        </is>
      </c>
      <c r="D812" s="11" t="inlineStr">
        <is>
          <t>SP6251991</t>
        </is>
      </c>
      <c r="E812" s="12" t="n">
        <v>46288</v>
      </c>
      <c r="F812" s="11" t="inlineStr">
        <is>
          <t>Delivered</t>
        </is>
      </c>
      <c r="G812" s="12" t="n">
        <v>46298</v>
      </c>
      <c r="H812" s="5">
        <f>IF(G812="","",Rules!$B$1-G812)</f>
        <v/>
      </c>
      <c r="I812" s="5">
        <f>IF(F812="Address issue","address issue",IF(OR(F812="Delivered",F812="Returned to sender",G812=""),"",IF(AND(Rules!$B$3&lt;&gt;"",F812="Held at customs",H812&gt;=Rules!$B$3),"customs &gt;= "&amp;Rules!$B$3&amp;" days",IF(H812&gt;=Rules!$B$2,"idle &gt;= "&amp;Rules!$B$2&amp;" days",""))))</f>
        <v/>
      </c>
      <c r="J812" s="5">
        <f>IF(I812="","",IF(F812="Address issue",0,COUNTIF($I$2:$I$1001,"address issue"))+COUNTIFS($I$2:$I$1001,"?*",$F$2:$F$1001,IF(F812="Address issue","Address issue","&lt;&gt;Address issue"),$H$2:$H$1001,"&gt;"&amp;H812)+1)</f>
        <v/>
      </c>
    </row>
    <row r="813">
      <c r="A813" s="11" t="n">
        <v>100812</v>
      </c>
      <c r="B813" s="11" t="inlineStr">
        <is>
          <t>Бразилія</t>
        </is>
      </c>
      <c r="C813" s="11" t="inlineStr">
        <is>
          <t>AndesCargo</t>
        </is>
      </c>
      <c r="D813" s="11" t="inlineStr">
        <is>
          <t>AC28306866</t>
        </is>
      </c>
      <c r="E813" s="12" t="n">
        <v>46299</v>
      </c>
      <c r="F813" s="11" t="inlineStr">
        <is>
          <t>Returned to sender</t>
        </is>
      </c>
      <c r="G813" s="12" t="n">
        <v>46303</v>
      </c>
      <c r="H813" s="5">
        <f>IF(G813="","",Rules!$B$1-G813)</f>
        <v/>
      </c>
      <c r="I813" s="5">
        <f>IF(F813="Address issue","address issue",IF(OR(F813="Delivered",F813="Returned to sender",G813=""),"",IF(AND(Rules!$B$3&lt;&gt;"",F813="Held at customs",H813&gt;=Rules!$B$3),"customs &gt;= "&amp;Rules!$B$3&amp;" days",IF(H813&gt;=Rules!$B$2,"idle &gt;= "&amp;Rules!$B$2&amp;" days",""))))</f>
        <v/>
      </c>
      <c r="J813" s="5">
        <f>IF(I813="","",IF(F813="Address issue",0,COUNTIF($I$2:$I$1001,"address issue"))+COUNTIFS($I$2:$I$1001,"?*",$F$2:$F$1001,IF(F813="Address issue","Address issue","&lt;&gt;Address issue"),$H$2:$H$1001,"&gt;"&amp;H813)+1)</f>
        <v/>
      </c>
    </row>
    <row r="814">
      <c r="A814" s="11" t="n">
        <v>100813</v>
      </c>
      <c r="B814" s="11" t="inlineStr">
        <is>
          <t>Бразилія</t>
        </is>
      </c>
      <c r="C814" s="11" t="inlineStr">
        <is>
          <t>SwiftParcel</t>
        </is>
      </c>
      <c r="D814" s="11" t="inlineStr">
        <is>
          <t>SP5722486</t>
        </is>
      </c>
      <c r="E814" s="12" t="n">
        <v>46278</v>
      </c>
      <c r="F814" s="11" t="inlineStr">
        <is>
          <t>Delivered</t>
        </is>
      </c>
      <c r="G814" s="12" t="n">
        <v>46283</v>
      </c>
      <c r="H814" s="5">
        <f>IF(G814="","",Rules!$B$1-G814)</f>
        <v/>
      </c>
      <c r="I814" s="5">
        <f>IF(F814="Address issue","address issue",IF(OR(F814="Delivered",F814="Returned to sender",G814=""),"",IF(AND(Rules!$B$3&lt;&gt;"",F814="Held at customs",H814&gt;=Rules!$B$3),"customs &gt;= "&amp;Rules!$B$3&amp;" days",IF(H814&gt;=Rules!$B$2,"idle &gt;= "&amp;Rules!$B$2&amp;" days",""))))</f>
        <v/>
      </c>
      <c r="J814" s="5">
        <f>IF(I814="","",IF(F814="Address issue",0,COUNTIF($I$2:$I$1001,"address issue"))+COUNTIFS($I$2:$I$1001,"?*",$F$2:$F$1001,IF(F814="Address issue","Address issue","&lt;&gt;Address issue"),$H$2:$H$1001,"&gt;"&amp;H814)+1)</f>
        <v/>
      </c>
    </row>
    <row r="815">
      <c r="A815" s="11" t="n">
        <v>100814</v>
      </c>
      <c r="B815" s="11" t="inlineStr">
        <is>
          <t>Канада</t>
        </is>
      </c>
      <c r="C815" s="11" t="inlineStr">
        <is>
          <t>PostLink</t>
        </is>
      </c>
      <c r="D815" s="11" t="inlineStr">
        <is>
          <t>PL92477576</t>
        </is>
      </c>
      <c r="E815" s="12" t="n">
        <v>46282</v>
      </c>
      <c r="F815" s="11" t="inlineStr">
        <is>
          <t>Delivered</t>
        </is>
      </c>
      <c r="G815" s="12" t="n">
        <v>46288</v>
      </c>
      <c r="H815" s="5">
        <f>IF(G815="","",Rules!$B$1-G815)</f>
        <v/>
      </c>
      <c r="I815" s="5">
        <f>IF(F815="Address issue","address issue",IF(OR(F815="Delivered",F815="Returned to sender",G815=""),"",IF(AND(Rules!$B$3&lt;&gt;"",F815="Held at customs",H815&gt;=Rules!$B$3),"customs &gt;= "&amp;Rules!$B$3&amp;" days",IF(H815&gt;=Rules!$B$2,"idle &gt;= "&amp;Rules!$B$2&amp;" days",""))))</f>
        <v/>
      </c>
      <c r="J815" s="5">
        <f>IF(I815="","",IF(F815="Address issue",0,COUNTIF($I$2:$I$1001,"address issue"))+COUNTIFS($I$2:$I$1001,"?*",$F$2:$F$1001,IF(F815="Address issue","Address issue","&lt;&gt;Address issue"),$H$2:$H$1001,"&gt;"&amp;H815)+1)</f>
        <v/>
      </c>
    </row>
    <row r="816">
      <c r="A816" s="11" t="n">
        <v>100815</v>
      </c>
      <c r="B816" s="11" t="inlineStr">
        <is>
          <t>Мексика</t>
        </is>
      </c>
      <c r="C816" s="11" t="inlineStr">
        <is>
          <t>SwiftParcel</t>
        </is>
      </c>
      <c r="D816" s="11" t="inlineStr">
        <is>
          <t>SP8733504</t>
        </is>
      </c>
      <c r="E816" s="12" t="n">
        <v>46297</v>
      </c>
      <c r="F816" s="11" t="inlineStr">
        <is>
          <t>In transit</t>
        </is>
      </c>
      <c r="G816" s="13" t="n">
        <v>46305</v>
      </c>
      <c r="H816" s="5">
        <f>IF(G816="","",Rules!$B$1-G816)</f>
        <v/>
      </c>
      <c r="I816" s="5">
        <f>IF(F816="Address issue","address issue",IF(OR(F816="Delivered",F816="Returned to sender",G816=""),"",IF(AND(Rules!$B$3&lt;&gt;"",F816="Held at customs",H816&gt;=Rules!$B$3),"customs &gt;= "&amp;Rules!$B$3&amp;" days",IF(H816&gt;=Rules!$B$2,"idle &gt;= "&amp;Rules!$B$2&amp;" days",""))))</f>
        <v/>
      </c>
      <c r="J816" s="5">
        <f>IF(I816="","",IF(F816="Address issue",0,COUNTIF($I$2:$I$1001,"address issue"))+COUNTIFS($I$2:$I$1001,"?*",$F$2:$F$1001,IF(F816="Address issue","Address issue","&lt;&gt;Address issue"),$H$2:$H$1001,"&gt;"&amp;H816)+1)</f>
        <v/>
      </c>
    </row>
    <row r="817">
      <c r="A817" s="11" t="n">
        <v>100816</v>
      </c>
      <c r="B817" s="11" t="inlineStr">
        <is>
          <t>Бразилія</t>
        </is>
      </c>
      <c r="C817" s="11" t="inlineStr">
        <is>
          <t>SwiftParcel</t>
        </is>
      </c>
      <c r="D817" s="11" t="inlineStr">
        <is>
          <t>SP6779939</t>
        </is>
      </c>
      <c r="E817" s="12" t="n">
        <v>46302</v>
      </c>
      <c r="F817" s="11" t="inlineStr">
        <is>
          <t>Delivered</t>
        </is>
      </c>
      <c r="G817" s="13" t="n">
        <v>46308</v>
      </c>
      <c r="H817" s="5">
        <f>IF(G817="","",Rules!$B$1-G817)</f>
        <v/>
      </c>
      <c r="I817" s="5">
        <f>IF(F817="Address issue","address issue",IF(OR(F817="Delivered",F817="Returned to sender",G817=""),"",IF(AND(Rules!$B$3&lt;&gt;"",F817="Held at customs",H817&gt;=Rules!$B$3),"customs &gt;= "&amp;Rules!$B$3&amp;" days",IF(H817&gt;=Rules!$B$2,"idle &gt;= "&amp;Rules!$B$2&amp;" days",""))))</f>
        <v/>
      </c>
      <c r="J817" s="5">
        <f>IF(I817="","",IF(F817="Address issue",0,COUNTIF($I$2:$I$1001,"address issue"))+COUNTIFS($I$2:$I$1001,"?*",$F$2:$F$1001,IF(F817="Address issue","Address issue","&lt;&gt;Address issue"),$H$2:$H$1001,"&gt;"&amp;H817)+1)</f>
        <v/>
      </c>
    </row>
    <row r="818">
      <c r="A818" s="11" t="n">
        <v>100817</v>
      </c>
      <c r="B818" s="11" t="inlineStr">
        <is>
          <t>Мексика</t>
        </is>
      </c>
      <c r="C818" s="11" t="inlineStr">
        <is>
          <t>SwiftParcel</t>
        </is>
      </c>
      <c r="D818" s="11" t="inlineStr">
        <is>
          <t>SP9386515</t>
        </is>
      </c>
      <c r="E818" s="12" t="n">
        <v>46280</v>
      </c>
      <c r="F818" s="11" t="inlineStr">
        <is>
          <t>Delivered</t>
        </is>
      </c>
      <c r="G818" s="12" t="n">
        <v>46289</v>
      </c>
      <c r="H818" s="5">
        <f>IF(G818="","",Rules!$B$1-G818)</f>
        <v/>
      </c>
      <c r="I818" s="5">
        <f>IF(F818="Address issue","address issue",IF(OR(F818="Delivered",F818="Returned to sender",G818=""),"",IF(AND(Rules!$B$3&lt;&gt;"",F818="Held at customs",H818&gt;=Rules!$B$3),"customs &gt;= "&amp;Rules!$B$3&amp;" days",IF(H818&gt;=Rules!$B$2,"idle &gt;= "&amp;Rules!$B$2&amp;" days",""))))</f>
        <v/>
      </c>
      <c r="J818" s="5">
        <f>IF(I818="","",IF(F818="Address issue",0,COUNTIF($I$2:$I$1001,"address issue"))+COUNTIFS($I$2:$I$1001,"?*",$F$2:$F$1001,IF(F818="Address issue","Address issue","&lt;&gt;Address issue"),$H$2:$H$1001,"&gt;"&amp;H818)+1)</f>
        <v/>
      </c>
    </row>
    <row r="819">
      <c r="A819" s="11" t="n">
        <v>100818</v>
      </c>
      <c r="B819" s="11" t="inlineStr">
        <is>
          <t>Бразилія</t>
        </is>
      </c>
      <c r="C819" s="11" t="inlineStr">
        <is>
          <t>AndesCargo</t>
        </is>
      </c>
      <c r="D819" s="11" t="inlineStr">
        <is>
          <t>AC46011896</t>
        </is>
      </c>
      <c r="E819" s="12" t="n">
        <v>46300</v>
      </c>
      <c r="F819" s="11" t="inlineStr">
        <is>
          <t>Delivered</t>
        </is>
      </c>
      <c r="G819" s="12" t="n">
        <v>46304</v>
      </c>
      <c r="H819" s="5">
        <f>IF(G819="","",Rules!$B$1-G819)</f>
        <v/>
      </c>
      <c r="I819" s="5">
        <f>IF(F819="Address issue","address issue",IF(OR(F819="Delivered",F819="Returned to sender",G819=""),"",IF(AND(Rules!$B$3&lt;&gt;"",F819="Held at customs",H819&gt;=Rules!$B$3),"customs &gt;= "&amp;Rules!$B$3&amp;" days",IF(H819&gt;=Rules!$B$2,"idle &gt;= "&amp;Rules!$B$2&amp;" days",""))))</f>
        <v/>
      </c>
      <c r="J819" s="5">
        <f>IF(I819="","",IF(F819="Address issue",0,COUNTIF($I$2:$I$1001,"address issue"))+COUNTIFS($I$2:$I$1001,"?*",$F$2:$F$1001,IF(F819="Address issue","Address issue","&lt;&gt;Address issue"),$H$2:$H$1001,"&gt;"&amp;H819)+1)</f>
        <v/>
      </c>
    </row>
    <row r="820">
      <c r="A820" s="11" t="n">
        <v>100819</v>
      </c>
      <c r="B820" s="11" t="inlineStr">
        <is>
          <t>Мексика</t>
        </is>
      </c>
      <c r="C820" s="11" t="inlineStr">
        <is>
          <t>AndesCargo</t>
        </is>
      </c>
      <c r="D820" s="11" t="inlineStr">
        <is>
          <t>AC82958886</t>
        </is>
      </c>
      <c r="E820" s="12" t="n">
        <v>46290</v>
      </c>
      <c r="F820" s="11" t="inlineStr">
        <is>
          <t>Delivered</t>
        </is>
      </c>
      <c r="G820" s="12" t="n">
        <v>46300</v>
      </c>
      <c r="H820" s="5">
        <f>IF(G820="","",Rules!$B$1-G820)</f>
        <v/>
      </c>
      <c r="I820" s="5">
        <f>IF(F820="Address issue","address issue",IF(OR(F820="Delivered",F820="Returned to sender",G820=""),"",IF(AND(Rules!$B$3&lt;&gt;"",F820="Held at customs",H820&gt;=Rules!$B$3),"customs &gt;= "&amp;Rules!$B$3&amp;" days",IF(H820&gt;=Rules!$B$2,"idle &gt;= "&amp;Rules!$B$2&amp;" days",""))))</f>
        <v/>
      </c>
      <c r="J820" s="5">
        <f>IF(I820="","",IF(F820="Address issue",0,COUNTIF($I$2:$I$1001,"address issue"))+COUNTIFS($I$2:$I$1001,"?*",$F$2:$F$1001,IF(F820="Address issue","Address issue","&lt;&gt;Address issue"),$H$2:$H$1001,"&gt;"&amp;H820)+1)</f>
        <v/>
      </c>
    </row>
    <row r="821">
      <c r="A821" s="11" t="n">
        <v>100820</v>
      </c>
      <c r="B821" s="11" t="inlineStr">
        <is>
          <t>Канада</t>
        </is>
      </c>
      <c r="C821" s="11" t="inlineStr">
        <is>
          <t>PostLink</t>
        </is>
      </c>
      <c r="D821" s="11" t="inlineStr">
        <is>
          <t>PL96598440</t>
        </is>
      </c>
      <c r="E821" s="12" t="n">
        <v>46276</v>
      </c>
      <c r="F821" s="11" t="inlineStr">
        <is>
          <t>Delivered</t>
        </is>
      </c>
      <c r="G821" s="12" t="n">
        <v>46287</v>
      </c>
      <c r="H821" s="5">
        <f>IF(G821="","",Rules!$B$1-G821)</f>
        <v/>
      </c>
      <c r="I821" s="5">
        <f>IF(F821="Address issue","address issue",IF(OR(F821="Delivered",F821="Returned to sender",G821=""),"",IF(AND(Rules!$B$3&lt;&gt;"",F821="Held at customs",H821&gt;=Rules!$B$3),"customs &gt;= "&amp;Rules!$B$3&amp;" days",IF(H821&gt;=Rules!$B$2,"idle &gt;= "&amp;Rules!$B$2&amp;" days",""))))</f>
        <v/>
      </c>
      <c r="J821" s="5">
        <f>IF(I821="","",IF(F821="Address issue",0,COUNTIF($I$2:$I$1001,"address issue"))+COUNTIFS($I$2:$I$1001,"?*",$F$2:$F$1001,IF(F821="Address issue","Address issue","&lt;&gt;Address issue"),$H$2:$H$1001,"&gt;"&amp;H821)+1)</f>
        <v/>
      </c>
    </row>
    <row r="822">
      <c r="A822" s="11" t="n">
        <v>100821</v>
      </c>
      <c r="B822" s="11" t="inlineStr">
        <is>
          <t>Мексика</t>
        </is>
      </c>
      <c r="C822" s="11" t="inlineStr">
        <is>
          <t>AndesCargo</t>
        </is>
      </c>
      <c r="D822" s="11" t="inlineStr">
        <is>
          <t>AC29399646</t>
        </is>
      </c>
      <c r="E822" s="13" t="n">
        <v>46305</v>
      </c>
      <c r="F822" s="11" t="inlineStr">
        <is>
          <t>In transit</t>
        </is>
      </c>
      <c r="G822" s="13" t="n">
        <v>46307</v>
      </c>
      <c r="H822" s="5">
        <f>IF(G822="","",Rules!$B$1-G822)</f>
        <v/>
      </c>
      <c r="I822" s="5">
        <f>IF(F822="Address issue","address issue",IF(OR(F822="Delivered",F822="Returned to sender",G822=""),"",IF(AND(Rules!$B$3&lt;&gt;"",F822="Held at customs",H822&gt;=Rules!$B$3),"customs &gt;= "&amp;Rules!$B$3&amp;" days",IF(H822&gt;=Rules!$B$2,"idle &gt;= "&amp;Rules!$B$2&amp;" days",""))))</f>
        <v/>
      </c>
      <c r="J822" s="5">
        <f>IF(I822="","",IF(F822="Address issue",0,COUNTIF($I$2:$I$1001,"address issue"))+COUNTIFS($I$2:$I$1001,"?*",$F$2:$F$1001,IF(F822="Address issue","Address issue","&lt;&gt;Address issue"),$H$2:$H$1001,"&gt;"&amp;H822)+1)</f>
        <v/>
      </c>
    </row>
    <row r="823">
      <c r="A823" s="11" t="n">
        <v>100822</v>
      </c>
      <c r="B823" s="11" t="inlineStr">
        <is>
          <t>Мексика</t>
        </is>
      </c>
      <c r="C823" s="11" t="inlineStr">
        <is>
          <t>SwiftParcel</t>
        </is>
      </c>
      <c r="D823" s="11" t="inlineStr">
        <is>
          <t>SP4661562</t>
        </is>
      </c>
      <c r="E823" s="12" t="n">
        <v>46301</v>
      </c>
      <c r="F823" s="11" t="inlineStr">
        <is>
          <t>Held at customs</t>
        </is>
      </c>
      <c r="G823" s="13" t="n">
        <v>46308</v>
      </c>
      <c r="H823" s="5">
        <f>IF(G823="","",Rules!$B$1-G823)</f>
        <v/>
      </c>
      <c r="I823" s="5">
        <f>IF(F823="Address issue","address issue",IF(OR(F823="Delivered",F823="Returned to sender",G823=""),"",IF(AND(Rules!$B$3&lt;&gt;"",F823="Held at customs",H823&gt;=Rules!$B$3),"customs &gt;= "&amp;Rules!$B$3&amp;" days",IF(H823&gt;=Rules!$B$2,"idle &gt;= "&amp;Rules!$B$2&amp;" days",""))))</f>
        <v/>
      </c>
      <c r="J823" s="5">
        <f>IF(I823="","",IF(F823="Address issue",0,COUNTIF($I$2:$I$1001,"address issue"))+COUNTIFS($I$2:$I$1001,"?*",$F$2:$F$1001,IF(F823="Address issue","Address issue","&lt;&gt;Address issue"),$H$2:$H$1001,"&gt;"&amp;H823)+1)</f>
        <v/>
      </c>
    </row>
    <row r="824">
      <c r="A824" s="11" t="n">
        <v>100823</v>
      </c>
      <c r="B824" s="11" t="inlineStr">
        <is>
          <t>Бразилія</t>
        </is>
      </c>
      <c r="C824" s="11" t="inlineStr">
        <is>
          <t>AndesCargo</t>
        </is>
      </c>
      <c r="D824" s="11" t="inlineStr">
        <is>
          <t>AC25097669</t>
        </is>
      </c>
      <c r="E824" s="12" t="n">
        <v>46277</v>
      </c>
      <c r="F824" s="11" t="inlineStr">
        <is>
          <t>Delivered</t>
        </is>
      </c>
      <c r="G824" s="12" t="n">
        <v>46289</v>
      </c>
      <c r="H824" s="5">
        <f>IF(G824="","",Rules!$B$1-G824)</f>
        <v/>
      </c>
      <c r="I824" s="5">
        <f>IF(F824="Address issue","address issue",IF(OR(F824="Delivered",F824="Returned to sender",G824=""),"",IF(AND(Rules!$B$3&lt;&gt;"",F824="Held at customs",H824&gt;=Rules!$B$3),"customs &gt;= "&amp;Rules!$B$3&amp;" days",IF(H824&gt;=Rules!$B$2,"idle &gt;= "&amp;Rules!$B$2&amp;" days",""))))</f>
        <v/>
      </c>
      <c r="J824" s="5">
        <f>IF(I824="","",IF(F824="Address issue",0,COUNTIF($I$2:$I$1001,"address issue"))+COUNTIFS($I$2:$I$1001,"?*",$F$2:$F$1001,IF(F824="Address issue","Address issue","&lt;&gt;Address issue"),$H$2:$H$1001,"&gt;"&amp;H824)+1)</f>
        <v/>
      </c>
    </row>
    <row r="825">
      <c r="A825" s="11" t="n">
        <v>100824</v>
      </c>
      <c r="B825" s="11" t="inlineStr">
        <is>
          <t>Мексика</t>
        </is>
      </c>
      <c r="C825" s="11" t="inlineStr">
        <is>
          <t>SwiftParcel</t>
        </is>
      </c>
      <c r="D825" s="11" t="inlineStr">
        <is>
          <t>SP3086344</t>
        </is>
      </c>
      <c r="E825" s="12" t="n">
        <v>46282</v>
      </c>
      <c r="F825" s="11" t="inlineStr">
        <is>
          <t>Delivered</t>
        </is>
      </c>
      <c r="G825" s="12" t="n">
        <v>46290</v>
      </c>
      <c r="H825" s="5">
        <f>IF(G825="","",Rules!$B$1-G825)</f>
        <v/>
      </c>
      <c r="I825" s="5">
        <f>IF(F825="Address issue","address issue",IF(OR(F825="Delivered",F825="Returned to sender",G825=""),"",IF(AND(Rules!$B$3&lt;&gt;"",F825="Held at customs",H825&gt;=Rules!$B$3),"customs &gt;= "&amp;Rules!$B$3&amp;" days",IF(H825&gt;=Rules!$B$2,"idle &gt;= "&amp;Rules!$B$2&amp;" days",""))))</f>
        <v/>
      </c>
      <c r="J825" s="5">
        <f>IF(I825="","",IF(F825="Address issue",0,COUNTIF($I$2:$I$1001,"address issue"))+COUNTIFS($I$2:$I$1001,"?*",$F$2:$F$1001,IF(F825="Address issue","Address issue","&lt;&gt;Address issue"),$H$2:$H$1001,"&gt;"&amp;H825)+1)</f>
        <v/>
      </c>
    </row>
    <row r="826">
      <c r="A826" s="11" t="n">
        <v>100825</v>
      </c>
      <c r="B826" s="11" t="inlineStr">
        <is>
          <t>Канада</t>
        </is>
      </c>
      <c r="C826" s="11" t="inlineStr">
        <is>
          <t>PostLink</t>
        </is>
      </c>
      <c r="D826" s="11" t="inlineStr">
        <is>
          <t>PL62953523</t>
        </is>
      </c>
      <c r="E826" s="12" t="n">
        <v>46290</v>
      </c>
      <c r="F826" s="11" t="inlineStr">
        <is>
          <t>Delivered</t>
        </is>
      </c>
      <c r="G826" s="12" t="n">
        <v>46299</v>
      </c>
      <c r="H826" s="5">
        <f>IF(G826="","",Rules!$B$1-G826)</f>
        <v/>
      </c>
      <c r="I826" s="5">
        <f>IF(F826="Address issue","address issue",IF(OR(F826="Delivered",F826="Returned to sender",G826=""),"",IF(AND(Rules!$B$3&lt;&gt;"",F826="Held at customs",H826&gt;=Rules!$B$3),"customs &gt;= "&amp;Rules!$B$3&amp;" days",IF(H826&gt;=Rules!$B$2,"idle &gt;= "&amp;Rules!$B$2&amp;" days",""))))</f>
        <v/>
      </c>
      <c r="J826" s="5">
        <f>IF(I826="","",IF(F826="Address issue",0,COUNTIF($I$2:$I$1001,"address issue"))+COUNTIFS($I$2:$I$1001,"?*",$F$2:$F$1001,IF(F826="Address issue","Address issue","&lt;&gt;Address issue"),$H$2:$H$1001,"&gt;"&amp;H826)+1)</f>
        <v/>
      </c>
    </row>
    <row r="827">
      <c r="A827" s="11" t="n">
        <v>100826</v>
      </c>
      <c r="B827" s="11" t="inlineStr">
        <is>
          <t>Бразилія</t>
        </is>
      </c>
      <c r="C827" s="11" t="inlineStr">
        <is>
          <t>SwiftParcel</t>
        </is>
      </c>
      <c r="D827" s="11" t="inlineStr">
        <is>
          <t>SP6036478</t>
        </is>
      </c>
      <c r="E827" s="12" t="n">
        <v>46288</v>
      </c>
      <c r="F827" s="11" t="inlineStr">
        <is>
          <t>Held at customs</t>
        </is>
      </c>
      <c r="G827" s="12" t="n">
        <v>46296</v>
      </c>
      <c r="H827" s="5">
        <f>IF(G827="","",Rules!$B$1-G827)</f>
        <v/>
      </c>
      <c r="I827" s="5">
        <f>IF(F827="Address issue","address issue",IF(OR(F827="Delivered",F827="Returned to sender",G827=""),"",IF(AND(Rules!$B$3&lt;&gt;"",F827="Held at customs",H827&gt;=Rules!$B$3),"customs &gt;= "&amp;Rules!$B$3&amp;" days",IF(H827&gt;=Rules!$B$2,"idle &gt;= "&amp;Rules!$B$2&amp;" days",""))))</f>
        <v/>
      </c>
      <c r="J827" s="5">
        <f>IF(I827="","",IF(F827="Address issue",0,COUNTIF($I$2:$I$1001,"address issue"))+COUNTIFS($I$2:$I$1001,"?*",$F$2:$F$1001,IF(F827="Address issue","Address issue","&lt;&gt;Address issue"),$H$2:$H$1001,"&gt;"&amp;H827)+1)</f>
        <v/>
      </c>
    </row>
    <row r="828">
      <c r="A828" s="11" t="n">
        <v>100827</v>
      </c>
      <c r="B828" s="11" t="inlineStr">
        <is>
          <t>Мексика</t>
        </is>
      </c>
      <c r="C828" s="11" t="inlineStr">
        <is>
          <t>SwiftParcel</t>
        </is>
      </c>
      <c r="D828" s="11" t="inlineStr">
        <is>
          <t>SP3237890</t>
        </is>
      </c>
      <c r="E828" s="12" t="n">
        <v>46287</v>
      </c>
      <c r="F828" s="11" t="inlineStr">
        <is>
          <t>Delivered</t>
        </is>
      </c>
      <c r="G828" s="12" t="n">
        <v>46296</v>
      </c>
      <c r="H828" s="5">
        <f>IF(G828="","",Rules!$B$1-G828)</f>
        <v/>
      </c>
      <c r="I828" s="5">
        <f>IF(F828="Address issue","address issue",IF(OR(F828="Delivered",F828="Returned to sender",G828=""),"",IF(AND(Rules!$B$3&lt;&gt;"",F828="Held at customs",H828&gt;=Rules!$B$3),"customs &gt;= "&amp;Rules!$B$3&amp;" days",IF(H828&gt;=Rules!$B$2,"idle &gt;= "&amp;Rules!$B$2&amp;" days",""))))</f>
        <v/>
      </c>
      <c r="J828" s="5">
        <f>IF(I828="","",IF(F828="Address issue",0,COUNTIF($I$2:$I$1001,"address issue"))+COUNTIFS($I$2:$I$1001,"?*",$F$2:$F$1001,IF(F828="Address issue","Address issue","&lt;&gt;Address issue"),$H$2:$H$1001,"&gt;"&amp;H828)+1)</f>
        <v/>
      </c>
    </row>
    <row r="829">
      <c r="A829" s="11" t="n">
        <v>100828</v>
      </c>
      <c r="B829" s="11" t="inlineStr">
        <is>
          <t>Мексика</t>
        </is>
      </c>
      <c r="C829" s="11" t="inlineStr">
        <is>
          <t>AndesCargo</t>
        </is>
      </c>
      <c r="D829" s="11" t="inlineStr">
        <is>
          <t>AC54566145</t>
        </is>
      </c>
      <c r="E829" s="12" t="n">
        <v>46279</v>
      </c>
      <c r="F829" s="11" t="inlineStr">
        <is>
          <t>Delivered</t>
        </is>
      </c>
      <c r="G829" s="12" t="n">
        <v>46283</v>
      </c>
      <c r="H829" s="5">
        <f>IF(G829="","",Rules!$B$1-G829)</f>
        <v/>
      </c>
      <c r="I829" s="5">
        <f>IF(F829="Address issue","address issue",IF(OR(F829="Delivered",F829="Returned to sender",G829=""),"",IF(AND(Rules!$B$3&lt;&gt;"",F829="Held at customs",H829&gt;=Rules!$B$3),"customs &gt;= "&amp;Rules!$B$3&amp;" days",IF(H829&gt;=Rules!$B$2,"idle &gt;= "&amp;Rules!$B$2&amp;" days",""))))</f>
        <v/>
      </c>
      <c r="J829" s="5">
        <f>IF(I829="","",IF(F829="Address issue",0,COUNTIF($I$2:$I$1001,"address issue"))+COUNTIFS($I$2:$I$1001,"?*",$F$2:$F$1001,IF(F829="Address issue","Address issue","&lt;&gt;Address issue"),$H$2:$H$1001,"&gt;"&amp;H829)+1)</f>
        <v/>
      </c>
    </row>
    <row r="830">
      <c r="A830" s="11" t="n">
        <v>100829</v>
      </c>
      <c r="B830" s="11" t="inlineStr">
        <is>
          <t>Бразилія</t>
        </is>
      </c>
      <c r="C830" s="11" t="inlineStr">
        <is>
          <t>SwiftParcel</t>
        </is>
      </c>
      <c r="D830" s="11" t="inlineStr">
        <is>
          <t>SP2587505</t>
        </is>
      </c>
      <c r="E830" s="12" t="n">
        <v>46304</v>
      </c>
      <c r="F830" s="11" t="inlineStr">
        <is>
          <t>Held at customs</t>
        </is>
      </c>
      <c r="G830" s="13" t="n">
        <v>46305</v>
      </c>
      <c r="H830" s="5">
        <f>IF(G830="","",Rules!$B$1-G830)</f>
        <v/>
      </c>
      <c r="I830" s="5">
        <f>IF(F830="Address issue","address issue",IF(OR(F830="Delivered",F830="Returned to sender",G830=""),"",IF(AND(Rules!$B$3&lt;&gt;"",F830="Held at customs",H830&gt;=Rules!$B$3),"customs &gt;= "&amp;Rules!$B$3&amp;" days",IF(H830&gt;=Rules!$B$2,"idle &gt;= "&amp;Rules!$B$2&amp;" days",""))))</f>
        <v/>
      </c>
      <c r="J830" s="5">
        <f>IF(I830="","",IF(F830="Address issue",0,COUNTIF($I$2:$I$1001,"address issue"))+COUNTIFS($I$2:$I$1001,"?*",$F$2:$F$1001,IF(F830="Address issue","Address issue","&lt;&gt;Address issue"),$H$2:$H$1001,"&gt;"&amp;H830)+1)</f>
        <v/>
      </c>
    </row>
    <row r="831">
      <c r="A831" s="11" t="n">
        <v>100830</v>
      </c>
      <c r="B831" s="11" t="inlineStr">
        <is>
          <t>Мексика</t>
        </is>
      </c>
      <c r="C831" s="11" t="inlineStr">
        <is>
          <t>AndesCargo</t>
        </is>
      </c>
      <c r="D831" s="11" t="inlineStr">
        <is>
          <t>AC10605830</t>
        </is>
      </c>
      <c r="E831" s="12" t="n">
        <v>46286</v>
      </c>
      <c r="F831" s="11" t="inlineStr">
        <is>
          <t>Delivered</t>
        </is>
      </c>
      <c r="G831" s="12" t="n">
        <v>46289</v>
      </c>
      <c r="H831" s="5">
        <f>IF(G831="","",Rules!$B$1-G831)</f>
        <v/>
      </c>
      <c r="I831" s="5">
        <f>IF(F831="Address issue","address issue",IF(OR(F831="Delivered",F831="Returned to sender",G831=""),"",IF(AND(Rules!$B$3&lt;&gt;"",F831="Held at customs",H831&gt;=Rules!$B$3),"customs &gt;= "&amp;Rules!$B$3&amp;" days",IF(H831&gt;=Rules!$B$2,"idle &gt;= "&amp;Rules!$B$2&amp;" days",""))))</f>
        <v/>
      </c>
      <c r="J831" s="5">
        <f>IF(I831="","",IF(F831="Address issue",0,COUNTIF($I$2:$I$1001,"address issue"))+COUNTIFS($I$2:$I$1001,"?*",$F$2:$F$1001,IF(F831="Address issue","Address issue","&lt;&gt;Address issue"),$H$2:$H$1001,"&gt;"&amp;H831)+1)</f>
        <v/>
      </c>
    </row>
    <row r="832">
      <c r="A832" s="11" t="n">
        <v>100831</v>
      </c>
      <c r="B832" s="11" t="inlineStr">
        <is>
          <t>Бразилія</t>
        </is>
      </c>
      <c r="C832" s="11" t="inlineStr">
        <is>
          <t>AndesCargo</t>
        </is>
      </c>
      <c r="D832" s="11" t="inlineStr">
        <is>
          <t>AC68938768</t>
        </is>
      </c>
      <c r="E832" s="12" t="n">
        <v>46296</v>
      </c>
      <c r="F832" s="11" t="inlineStr">
        <is>
          <t>Delivered</t>
        </is>
      </c>
      <c r="G832" s="13" t="n">
        <v>46305</v>
      </c>
      <c r="H832" s="5">
        <f>IF(G832="","",Rules!$B$1-G832)</f>
        <v/>
      </c>
      <c r="I832" s="5">
        <f>IF(F832="Address issue","address issue",IF(OR(F832="Delivered",F832="Returned to sender",G832=""),"",IF(AND(Rules!$B$3&lt;&gt;"",F832="Held at customs",H832&gt;=Rules!$B$3),"customs &gt;= "&amp;Rules!$B$3&amp;" days",IF(H832&gt;=Rules!$B$2,"idle &gt;= "&amp;Rules!$B$2&amp;" days",""))))</f>
        <v/>
      </c>
      <c r="J832" s="5">
        <f>IF(I832="","",IF(F832="Address issue",0,COUNTIF($I$2:$I$1001,"address issue"))+COUNTIFS($I$2:$I$1001,"?*",$F$2:$F$1001,IF(F832="Address issue","Address issue","&lt;&gt;Address issue"),$H$2:$H$1001,"&gt;"&amp;H832)+1)</f>
        <v/>
      </c>
    </row>
    <row r="833">
      <c r="A833" s="11" t="n">
        <v>100832</v>
      </c>
      <c r="B833" s="11" t="inlineStr">
        <is>
          <t>Мексика</t>
        </is>
      </c>
      <c r="C833" s="11" t="inlineStr">
        <is>
          <t>AndesCargo</t>
        </is>
      </c>
      <c r="D833" s="11" t="inlineStr">
        <is>
          <t>AC63920505</t>
        </is>
      </c>
      <c r="E833" s="12" t="n">
        <v>46281</v>
      </c>
      <c r="F833" s="11" t="inlineStr">
        <is>
          <t>Delivered</t>
        </is>
      </c>
      <c r="G833" s="12" t="n">
        <v>46293</v>
      </c>
      <c r="H833" s="5">
        <f>IF(G833="","",Rules!$B$1-G833)</f>
        <v/>
      </c>
      <c r="I833" s="5">
        <f>IF(F833="Address issue","address issue",IF(OR(F833="Delivered",F833="Returned to sender",G833=""),"",IF(AND(Rules!$B$3&lt;&gt;"",F833="Held at customs",H833&gt;=Rules!$B$3),"customs &gt;= "&amp;Rules!$B$3&amp;" days",IF(H833&gt;=Rules!$B$2,"idle &gt;= "&amp;Rules!$B$2&amp;" days",""))))</f>
        <v/>
      </c>
      <c r="J833" s="5">
        <f>IF(I833="","",IF(F833="Address issue",0,COUNTIF($I$2:$I$1001,"address issue"))+COUNTIFS($I$2:$I$1001,"?*",$F$2:$F$1001,IF(F833="Address issue","Address issue","&lt;&gt;Address issue"),$H$2:$H$1001,"&gt;"&amp;H833)+1)</f>
        <v/>
      </c>
    </row>
    <row r="834">
      <c r="A834" s="11" t="n">
        <v>100833</v>
      </c>
      <c r="B834" s="11" t="inlineStr">
        <is>
          <t>Бразилія</t>
        </is>
      </c>
      <c r="C834" s="11" t="inlineStr">
        <is>
          <t>SwiftParcel</t>
        </is>
      </c>
      <c r="D834" s="11" t="inlineStr">
        <is>
          <t>SP9471839</t>
        </is>
      </c>
      <c r="E834" s="12" t="n">
        <v>46297</v>
      </c>
      <c r="F834" s="11" t="inlineStr">
        <is>
          <t>In transit</t>
        </is>
      </c>
      <c r="G834" s="12" t="n">
        <v>46301</v>
      </c>
      <c r="H834" s="5">
        <f>IF(G834="","",Rules!$B$1-G834)</f>
        <v/>
      </c>
      <c r="I834" s="5">
        <f>IF(F834="Address issue","address issue",IF(OR(F834="Delivered",F834="Returned to sender",G834=""),"",IF(AND(Rules!$B$3&lt;&gt;"",F834="Held at customs",H834&gt;=Rules!$B$3),"customs &gt;= "&amp;Rules!$B$3&amp;" days",IF(H834&gt;=Rules!$B$2,"idle &gt;= "&amp;Rules!$B$2&amp;" days",""))))</f>
        <v/>
      </c>
      <c r="J834" s="5">
        <f>IF(I834="","",IF(F834="Address issue",0,COUNTIF($I$2:$I$1001,"address issue"))+COUNTIFS($I$2:$I$1001,"?*",$F$2:$F$1001,IF(F834="Address issue","Address issue","&lt;&gt;Address issue"),$H$2:$H$1001,"&gt;"&amp;H834)+1)</f>
        <v/>
      </c>
    </row>
    <row r="835">
      <c r="A835" s="11" t="n">
        <v>100834</v>
      </c>
      <c r="B835" s="11" t="inlineStr">
        <is>
          <t>Канада</t>
        </is>
      </c>
      <c r="C835" s="11" t="inlineStr">
        <is>
          <t>PostLink</t>
        </is>
      </c>
      <c r="D835" s="11" t="inlineStr">
        <is>
          <t>PL48715704</t>
        </is>
      </c>
      <c r="E835" s="12" t="n">
        <v>46295</v>
      </c>
      <c r="F835" s="11" t="inlineStr">
        <is>
          <t>Delivered</t>
        </is>
      </c>
      <c r="G835" s="12" t="n">
        <v>46300</v>
      </c>
      <c r="H835" s="5">
        <f>IF(G835="","",Rules!$B$1-G835)</f>
        <v/>
      </c>
      <c r="I835" s="5">
        <f>IF(F835="Address issue","address issue",IF(OR(F835="Delivered",F835="Returned to sender",G835=""),"",IF(AND(Rules!$B$3&lt;&gt;"",F835="Held at customs",H835&gt;=Rules!$B$3),"customs &gt;= "&amp;Rules!$B$3&amp;" days",IF(H835&gt;=Rules!$B$2,"idle &gt;= "&amp;Rules!$B$2&amp;" days",""))))</f>
        <v/>
      </c>
      <c r="J835" s="5">
        <f>IF(I835="","",IF(F835="Address issue",0,COUNTIF($I$2:$I$1001,"address issue"))+COUNTIFS($I$2:$I$1001,"?*",$F$2:$F$1001,IF(F835="Address issue","Address issue","&lt;&gt;Address issue"),$H$2:$H$1001,"&gt;"&amp;H835)+1)</f>
        <v/>
      </c>
    </row>
    <row r="836">
      <c r="A836" s="11" t="n">
        <v>100835</v>
      </c>
      <c r="B836" s="11" t="inlineStr">
        <is>
          <t>Бразилія</t>
        </is>
      </c>
      <c r="C836" s="11" t="inlineStr">
        <is>
          <t>SwiftParcel</t>
        </is>
      </c>
      <c r="D836" s="11" t="inlineStr">
        <is>
          <t>SP3445683</t>
        </is>
      </c>
      <c r="E836" s="12" t="n">
        <v>46303</v>
      </c>
      <c r="F836" s="11" t="inlineStr">
        <is>
          <t>In transit</t>
        </is>
      </c>
      <c r="G836" s="13" t="n">
        <v>46306</v>
      </c>
      <c r="H836" s="5">
        <f>IF(G836="","",Rules!$B$1-G836)</f>
        <v/>
      </c>
      <c r="I836" s="5">
        <f>IF(F836="Address issue","address issue",IF(OR(F836="Delivered",F836="Returned to sender",G836=""),"",IF(AND(Rules!$B$3&lt;&gt;"",F836="Held at customs",H836&gt;=Rules!$B$3),"customs &gt;= "&amp;Rules!$B$3&amp;" days",IF(H836&gt;=Rules!$B$2,"idle &gt;= "&amp;Rules!$B$2&amp;" days",""))))</f>
        <v/>
      </c>
      <c r="J836" s="5">
        <f>IF(I836="","",IF(F836="Address issue",0,COUNTIF($I$2:$I$1001,"address issue"))+COUNTIFS($I$2:$I$1001,"?*",$F$2:$F$1001,IF(F836="Address issue","Address issue","&lt;&gt;Address issue"),$H$2:$H$1001,"&gt;"&amp;H836)+1)</f>
        <v/>
      </c>
    </row>
    <row r="837">
      <c r="A837" s="11" t="n">
        <v>100836</v>
      </c>
      <c r="B837" s="11" t="inlineStr">
        <is>
          <t>Мексика</t>
        </is>
      </c>
      <c r="C837" s="11" t="inlineStr">
        <is>
          <t>AndesCargo</t>
        </is>
      </c>
      <c r="D837" s="11" t="inlineStr">
        <is>
          <t>AC75723904</t>
        </is>
      </c>
      <c r="E837" s="13" t="n">
        <v>46306</v>
      </c>
      <c r="F837" s="11" t="inlineStr">
        <is>
          <t>In transit</t>
        </is>
      </c>
      <c r="G837" s="13" t="n">
        <v>46310</v>
      </c>
      <c r="H837" s="5">
        <f>IF(G837="","",Rules!$B$1-G837)</f>
        <v/>
      </c>
      <c r="I837" s="5">
        <f>IF(F837="Address issue","address issue",IF(OR(F837="Delivered",F837="Returned to sender",G837=""),"",IF(AND(Rules!$B$3&lt;&gt;"",F837="Held at customs",H837&gt;=Rules!$B$3),"customs &gt;= "&amp;Rules!$B$3&amp;" days",IF(H837&gt;=Rules!$B$2,"idle &gt;= "&amp;Rules!$B$2&amp;" days",""))))</f>
        <v/>
      </c>
      <c r="J837" s="5">
        <f>IF(I837="","",IF(F837="Address issue",0,COUNTIF($I$2:$I$1001,"address issue"))+COUNTIFS($I$2:$I$1001,"?*",$F$2:$F$1001,IF(F837="Address issue","Address issue","&lt;&gt;Address issue"),$H$2:$H$1001,"&gt;"&amp;H837)+1)</f>
        <v/>
      </c>
    </row>
    <row r="838">
      <c r="A838" s="11" t="n">
        <v>100837</v>
      </c>
      <c r="B838" s="11" t="inlineStr">
        <is>
          <t>Канада</t>
        </is>
      </c>
      <c r="C838" s="11" t="inlineStr">
        <is>
          <t>PostLink</t>
        </is>
      </c>
      <c r="D838" s="11" t="inlineStr">
        <is>
          <t>PL95056359</t>
        </is>
      </c>
      <c r="E838" s="12" t="n">
        <v>46289</v>
      </c>
      <c r="F838" s="11" t="inlineStr">
        <is>
          <t>Delivered</t>
        </is>
      </c>
      <c r="G838" s="12" t="n">
        <v>46299</v>
      </c>
      <c r="H838" s="5">
        <f>IF(G838="","",Rules!$B$1-G838)</f>
        <v/>
      </c>
      <c r="I838" s="5">
        <f>IF(F838="Address issue","address issue",IF(OR(F838="Delivered",F838="Returned to sender",G838=""),"",IF(AND(Rules!$B$3&lt;&gt;"",F838="Held at customs",H838&gt;=Rules!$B$3),"customs &gt;= "&amp;Rules!$B$3&amp;" days",IF(H838&gt;=Rules!$B$2,"idle &gt;= "&amp;Rules!$B$2&amp;" days",""))))</f>
        <v/>
      </c>
      <c r="J838" s="5">
        <f>IF(I838="","",IF(F838="Address issue",0,COUNTIF($I$2:$I$1001,"address issue"))+COUNTIFS($I$2:$I$1001,"?*",$F$2:$F$1001,IF(F838="Address issue","Address issue","&lt;&gt;Address issue"),$H$2:$H$1001,"&gt;"&amp;H838)+1)</f>
        <v/>
      </c>
    </row>
    <row r="839">
      <c r="A839" s="11" t="n">
        <v>100838</v>
      </c>
      <c r="B839" s="11" t="inlineStr">
        <is>
          <t>Бразилія</t>
        </is>
      </c>
      <c r="C839" s="11" t="inlineStr">
        <is>
          <t>SwiftParcel</t>
        </is>
      </c>
      <c r="D839" s="11" t="inlineStr">
        <is>
          <t>SP7358709</t>
        </is>
      </c>
      <c r="E839" s="12" t="n">
        <v>46291</v>
      </c>
      <c r="F839" s="11" t="inlineStr">
        <is>
          <t>Delivered</t>
        </is>
      </c>
      <c r="G839" s="12" t="n">
        <v>46297</v>
      </c>
      <c r="H839" s="5">
        <f>IF(G839="","",Rules!$B$1-G839)</f>
        <v/>
      </c>
      <c r="I839" s="5">
        <f>IF(F839="Address issue","address issue",IF(OR(F839="Delivered",F839="Returned to sender",G839=""),"",IF(AND(Rules!$B$3&lt;&gt;"",F839="Held at customs",H839&gt;=Rules!$B$3),"customs &gt;= "&amp;Rules!$B$3&amp;" days",IF(H839&gt;=Rules!$B$2,"idle &gt;= "&amp;Rules!$B$2&amp;" days",""))))</f>
        <v/>
      </c>
      <c r="J839" s="5">
        <f>IF(I839="","",IF(F839="Address issue",0,COUNTIF($I$2:$I$1001,"address issue"))+COUNTIFS($I$2:$I$1001,"?*",$F$2:$F$1001,IF(F839="Address issue","Address issue","&lt;&gt;Address issue"),$H$2:$H$1001,"&gt;"&amp;H839)+1)</f>
        <v/>
      </c>
    </row>
    <row r="840">
      <c r="A840" s="11" t="n">
        <v>100839</v>
      </c>
      <c r="B840" s="11" t="inlineStr">
        <is>
          <t>Канада</t>
        </is>
      </c>
      <c r="C840" s="11" t="inlineStr">
        <is>
          <t>PostLink</t>
        </is>
      </c>
      <c r="D840" s="11" t="inlineStr">
        <is>
          <t>PL80572719</t>
        </is>
      </c>
      <c r="E840" s="12" t="n">
        <v>46278</v>
      </c>
      <c r="F840" s="11" t="inlineStr">
        <is>
          <t>Delivered</t>
        </is>
      </c>
      <c r="G840" s="12" t="n">
        <v>46281</v>
      </c>
      <c r="H840" s="5">
        <f>IF(G840="","",Rules!$B$1-G840)</f>
        <v/>
      </c>
      <c r="I840" s="5">
        <f>IF(F840="Address issue","address issue",IF(OR(F840="Delivered",F840="Returned to sender",G840=""),"",IF(AND(Rules!$B$3&lt;&gt;"",F840="Held at customs",H840&gt;=Rules!$B$3),"customs &gt;= "&amp;Rules!$B$3&amp;" days",IF(H840&gt;=Rules!$B$2,"idle &gt;= "&amp;Rules!$B$2&amp;" days",""))))</f>
        <v/>
      </c>
      <c r="J840" s="5">
        <f>IF(I840="","",IF(F840="Address issue",0,COUNTIF($I$2:$I$1001,"address issue"))+COUNTIFS($I$2:$I$1001,"?*",$F$2:$F$1001,IF(F840="Address issue","Address issue","&lt;&gt;Address issue"),$H$2:$H$1001,"&gt;"&amp;H840)+1)</f>
        <v/>
      </c>
    </row>
    <row r="841">
      <c r="A841" s="11" t="n">
        <v>100840</v>
      </c>
      <c r="B841" s="11" t="inlineStr">
        <is>
          <t>Канада</t>
        </is>
      </c>
      <c r="C841" s="11" t="inlineStr">
        <is>
          <t>PostLink</t>
        </is>
      </c>
      <c r="D841" s="11" t="inlineStr">
        <is>
          <t>PL67507896</t>
        </is>
      </c>
      <c r="E841" s="12" t="n">
        <v>46288</v>
      </c>
      <c r="F841" s="11" t="inlineStr">
        <is>
          <t>Delivered</t>
        </is>
      </c>
      <c r="G841" s="12" t="n">
        <v>46294</v>
      </c>
      <c r="H841" s="5">
        <f>IF(G841="","",Rules!$B$1-G841)</f>
        <v/>
      </c>
      <c r="I841" s="5">
        <f>IF(F841="Address issue","address issue",IF(OR(F841="Delivered",F841="Returned to sender",G841=""),"",IF(AND(Rules!$B$3&lt;&gt;"",F841="Held at customs",H841&gt;=Rules!$B$3),"customs &gt;= "&amp;Rules!$B$3&amp;" days",IF(H841&gt;=Rules!$B$2,"idle &gt;= "&amp;Rules!$B$2&amp;" days",""))))</f>
        <v/>
      </c>
      <c r="J841" s="5">
        <f>IF(I841="","",IF(F841="Address issue",0,COUNTIF($I$2:$I$1001,"address issue"))+COUNTIFS($I$2:$I$1001,"?*",$F$2:$F$1001,IF(F841="Address issue","Address issue","&lt;&gt;Address issue"),$H$2:$H$1001,"&gt;"&amp;H841)+1)</f>
        <v/>
      </c>
    </row>
    <row r="842">
      <c r="A842" s="11" t="n">
        <v>100841</v>
      </c>
      <c r="B842" s="11" t="inlineStr">
        <is>
          <t>Мексика</t>
        </is>
      </c>
      <c r="C842" s="11" t="inlineStr">
        <is>
          <t>AndesCargo</t>
        </is>
      </c>
      <c r="D842" s="11" t="inlineStr">
        <is>
          <t>AC43812076</t>
        </is>
      </c>
      <c r="E842" s="12" t="n">
        <v>46296</v>
      </c>
      <c r="F842" s="11" t="inlineStr">
        <is>
          <t>Held at customs</t>
        </is>
      </c>
      <c r="G842" s="12" t="n">
        <v>46302</v>
      </c>
      <c r="H842" s="5">
        <f>IF(G842="","",Rules!$B$1-G842)</f>
        <v/>
      </c>
      <c r="I842" s="5">
        <f>IF(F842="Address issue","address issue",IF(OR(F842="Delivered",F842="Returned to sender",G842=""),"",IF(AND(Rules!$B$3&lt;&gt;"",F842="Held at customs",H842&gt;=Rules!$B$3),"customs &gt;= "&amp;Rules!$B$3&amp;" days",IF(H842&gt;=Rules!$B$2,"idle &gt;= "&amp;Rules!$B$2&amp;" days",""))))</f>
        <v/>
      </c>
      <c r="J842" s="5">
        <f>IF(I842="","",IF(F842="Address issue",0,COUNTIF($I$2:$I$1001,"address issue"))+COUNTIFS($I$2:$I$1001,"?*",$F$2:$F$1001,IF(F842="Address issue","Address issue","&lt;&gt;Address issue"),$H$2:$H$1001,"&gt;"&amp;H842)+1)</f>
        <v/>
      </c>
    </row>
    <row r="843">
      <c r="A843" s="11" t="n">
        <v>100842</v>
      </c>
      <c r="B843" s="11" t="inlineStr">
        <is>
          <t>Бразилія</t>
        </is>
      </c>
      <c r="C843" s="11" t="inlineStr">
        <is>
          <t>AndesCargo</t>
        </is>
      </c>
      <c r="D843" s="11" t="inlineStr">
        <is>
          <t>AC56956820</t>
        </is>
      </c>
      <c r="E843" s="12" t="n">
        <v>46296</v>
      </c>
      <c r="F843" s="11" t="inlineStr">
        <is>
          <t>Held at customs</t>
        </is>
      </c>
      <c r="G843" s="12" t="n">
        <v>46298</v>
      </c>
      <c r="H843" s="5">
        <f>IF(G843="","",Rules!$B$1-G843)</f>
        <v/>
      </c>
      <c r="I843" s="5">
        <f>IF(F843="Address issue","address issue",IF(OR(F843="Delivered",F843="Returned to sender",G843=""),"",IF(AND(Rules!$B$3&lt;&gt;"",F843="Held at customs",H843&gt;=Rules!$B$3),"customs &gt;= "&amp;Rules!$B$3&amp;" days",IF(H843&gt;=Rules!$B$2,"idle &gt;= "&amp;Rules!$B$2&amp;" days",""))))</f>
        <v/>
      </c>
      <c r="J843" s="5">
        <f>IF(I843="","",IF(F843="Address issue",0,COUNTIF($I$2:$I$1001,"address issue"))+COUNTIFS($I$2:$I$1001,"?*",$F$2:$F$1001,IF(F843="Address issue","Address issue","&lt;&gt;Address issue"),$H$2:$H$1001,"&gt;"&amp;H843)+1)</f>
        <v/>
      </c>
    </row>
    <row r="844">
      <c r="A844" s="11" t="n">
        <v>100843</v>
      </c>
      <c r="B844" s="11" t="inlineStr">
        <is>
          <t>Бразилія</t>
        </is>
      </c>
      <c r="C844" s="11" t="inlineStr">
        <is>
          <t>SwiftParcel</t>
        </is>
      </c>
      <c r="D844" s="11" t="inlineStr">
        <is>
          <t>SP8367833</t>
        </is>
      </c>
      <c r="E844" s="12" t="n">
        <v>46270</v>
      </c>
      <c r="F844" s="11" t="inlineStr">
        <is>
          <t>Delivered</t>
        </is>
      </c>
      <c r="G844" s="12" t="n">
        <v>46281</v>
      </c>
      <c r="H844" s="5">
        <f>IF(G844="","",Rules!$B$1-G844)</f>
        <v/>
      </c>
      <c r="I844" s="5">
        <f>IF(F844="Address issue","address issue",IF(OR(F844="Delivered",F844="Returned to sender",G844=""),"",IF(AND(Rules!$B$3&lt;&gt;"",F844="Held at customs",H844&gt;=Rules!$B$3),"customs &gt;= "&amp;Rules!$B$3&amp;" days",IF(H844&gt;=Rules!$B$2,"idle &gt;= "&amp;Rules!$B$2&amp;" days",""))))</f>
        <v/>
      </c>
      <c r="J844" s="5">
        <f>IF(I844="","",IF(F844="Address issue",0,COUNTIF($I$2:$I$1001,"address issue"))+COUNTIFS($I$2:$I$1001,"?*",$F$2:$F$1001,IF(F844="Address issue","Address issue","&lt;&gt;Address issue"),$H$2:$H$1001,"&gt;"&amp;H844)+1)</f>
        <v/>
      </c>
    </row>
    <row r="845">
      <c r="A845" s="11" t="n">
        <v>100844</v>
      </c>
      <c r="B845" s="11" t="inlineStr">
        <is>
          <t>Бразилія</t>
        </is>
      </c>
      <c r="C845" s="11" t="inlineStr">
        <is>
          <t>SwiftParcel</t>
        </is>
      </c>
      <c r="D845" s="11" t="inlineStr">
        <is>
          <t>SP6412707</t>
        </is>
      </c>
      <c r="E845" s="12" t="n">
        <v>46296</v>
      </c>
      <c r="F845" s="11" t="inlineStr">
        <is>
          <t>In transit</t>
        </is>
      </c>
      <c r="G845" s="12" t="n">
        <v>46304</v>
      </c>
      <c r="H845" s="5">
        <f>IF(G845="","",Rules!$B$1-G845)</f>
        <v/>
      </c>
      <c r="I845" s="5">
        <f>IF(F845="Address issue","address issue",IF(OR(F845="Delivered",F845="Returned to sender",G845=""),"",IF(AND(Rules!$B$3&lt;&gt;"",F845="Held at customs",H845&gt;=Rules!$B$3),"customs &gt;= "&amp;Rules!$B$3&amp;" days",IF(H845&gt;=Rules!$B$2,"idle &gt;= "&amp;Rules!$B$2&amp;" days",""))))</f>
        <v/>
      </c>
      <c r="J845" s="5">
        <f>IF(I845="","",IF(F845="Address issue",0,COUNTIF($I$2:$I$1001,"address issue"))+COUNTIFS($I$2:$I$1001,"?*",$F$2:$F$1001,IF(F845="Address issue","Address issue","&lt;&gt;Address issue"),$H$2:$H$1001,"&gt;"&amp;H845)+1)</f>
        <v/>
      </c>
    </row>
    <row r="846">
      <c r="A846" s="11" t="n">
        <v>100845</v>
      </c>
      <c r="B846" s="11" t="inlineStr">
        <is>
          <t>Канада</t>
        </is>
      </c>
      <c r="C846" s="11" t="inlineStr">
        <is>
          <t>PostLink</t>
        </is>
      </c>
      <c r="D846" s="11" t="inlineStr">
        <is>
          <t>PL34102112</t>
        </is>
      </c>
      <c r="E846" s="12" t="n">
        <v>46295</v>
      </c>
      <c r="F846" s="11" t="inlineStr">
        <is>
          <t>Delivered</t>
        </is>
      </c>
      <c r="G846" s="12" t="n">
        <v>46299</v>
      </c>
      <c r="H846" s="5">
        <f>IF(G846="","",Rules!$B$1-G846)</f>
        <v/>
      </c>
      <c r="I846" s="5">
        <f>IF(F846="Address issue","address issue",IF(OR(F846="Delivered",F846="Returned to sender",G846=""),"",IF(AND(Rules!$B$3&lt;&gt;"",F846="Held at customs",H846&gt;=Rules!$B$3),"customs &gt;= "&amp;Rules!$B$3&amp;" days",IF(H846&gt;=Rules!$B$2,"idle &gt;= "&amp;Rules!$B$2&amp;" days",""))))</f>
        <v/>
      </c>
      <c r="J846" s="5">
        <f>IF(I846="","",IF(F846="Address issue",0,COUNTIF($I$2:$I$1001,"address issue"))+COUNTIFS($I$2:$I$1001,"?*",$F$2:$F$1001,IF(F846="Address issue","Address issue","&lt;&gt;Address issue"),$H$2:$H$1001,"&gt;"&amp;H846)+1)</f>
        <v/>
      </c>
    </row>
    <row r="847">
      <c r="A847" s="11" t="n">
        <v>100846</v>
      </c>
      <c r="B847" s="11" t="inlineStr">
        <is>
          <t>Бразилія</t>
        </is>
      </c>
      <c r="C847" s="11" t="inlineStr">
        <is>
          <t>SwiftParcel</t>
        </is>
      </c>
      <c r="D847" s="11" t="inlineStr">
        <is>
          <t>SP2268004</t>
        </is>
      </c>
      <c r="E847" s="12" t="n">
        <v>46296</v>
      </c>
      <c r="F847" s="11" t="inlineStr">
        <is>
          <t>Delivered</t>
        </is>
      </c>
      <c r="G847" s="13" t="n">
        <v>46306</v>
      </c>
      <c r="H847" s="5">
        <f>IF(G847="","",Rules!$B$1-G847)</f>
        <v/>
      </c>
      <c r="I847" s="5">
        <f>IF(F847="Address issue","address issue",IF(OR(F847="Delivered",F847="Returned to sender",G847=""),"",IF(AND(Rules!$B$3&lt;&gt;"",F847="Held at customs",H847&gt;=Rules!$B$3),"customs &gt;= "&amp;Rules!$B$3&amp;" days",IF(H847&gt;=Rules!$B$2,"idle &gt;= "&amp;Rules!$B$2&amp;" days",""))))</f>
        <v/>
      </c>
      <c r="J847" s="5">
        <f>IF(I847="","",IF(F847="Address issue",0,COUNTIF($I$2:$I$1001,"address issue"))+COUNTIFS($I$2:$I$1001,"?*",$F$2:$F$1001,IF(F847="Address issue","Address issue","&lt;&gt;Address issue"),$H$2:$H$1001,"&gt;"&amp;H847)+1)</f>
        <v/>
      </c>
    </row>
    <row r="848">
      <c r="A848" s="11" t="n">
        <v>100847</v>
      </c>
      <c r="B848" s="11" t="inlineStr">
        <is>
          <t>Мексика</t>
        </is>
      </c>
      <c r="C848" s="11" t="inlineStr">
        <is>
          <t>AndesCargo</t>
        </is>
      </c>
      <c r="D848" s="11" t="inlineStr">
        <is>
          <t>AC35083304</t>
        </is>
      </c>
      <c r="E848" s="12" t="n">
        <v>46287</v>
      </c>
      <c r="F848" s="11" t="inlineStr">
        <is>
          <t>Delivered</t>
        </is>
      </c>
      <c r="G848" s="12" t="n">
        <v>46295</v>
      </c>
      <c r="H848" s="5">
        <f>IF(G848="","",Rules!$B$1-G848)</f>
        <v/>
      </c>
      <c r="I848" s="5">
        <f>IF(F848="Address issue","address issue",IF(OR(F848="Delivered",F848="Returned to sender",G848=""),"",IF(AND(Rules!$B$3&lt;&gt;"",F848="Held at customs",H848&gt;=Rules!$B$3),"customs &gt;= "&amp;Rules!$B$3&amp;" days",IF(H848&gt;=Rules!$B$2,"idle &gt;= "&amp;Rules!$B$2&amp;" days",""))))</f>
        <v/>
      </c>
      <c r="J848" s="5">
        <f>IF(I848="","",IF(F848="Address issue",0,COUNTIF($I$2:$I$1001,"address issue"))+COUNTIFS($I$2:$I$1001,"?*",$F$2:$F$1001,IF(F848="Address issue","Address issue","&lt;&gt;Address issue"),$H$2:$H$1001,"&gt;"&amp;H848)+1)</f>
        <v/>
      </c>
    </row>
    <row r="849">
      <c r="A849" s="11" t="n">
        <v>100848</v>
      </c>
      <c r="B849" s="11" t="inlineStr">
        <is>
          <t>Канада</t>
        </is>
      </c>
      <c r="C849" s="11" t="inlineStr">
        <is>
          <t>PostLink</t>
        </is>
      </c>
      <c r="D849" s="11" t="inlineStr">
        <is>
          <t>PL84359200</t>
        </is>
      </c>
      <c r="E849" s="12" t="n">
        <v>46285</v>
      </c>
      <c r="F849" s="11" t="inlineStr">
        <is>
          <t>Delivered</t>
        </is>
      </c>
      <c r="G849" s="12" t="n">
        <v>46296</v>
      </c>
      <c r="H849" s="5">
        <f>IF(G849="","",Rules!$B$1-G849)</f>
        <v/>
      </c>
      <c r="I849" s="5">
        <f>IF(F849="Address issue","address issue",IF(OR(F849="Delivered",F849="Returned to sender",G849=""),"",IF(AND(Rules!$B$3&lt;&gt;"",F849="Held at customs",H849&gt;=Rules!$B$3),"customs &gt;= "&amp;Rules!$B$3&amp;" days",IF(H849&gt;=Rules!$B$2,"idle &gt;= "&amp;Rules!$B$2&amp;" days",""))))</f>
        <v/>
      </c>
      <c r="J849" s="5">
        <f>IF(I849="","",IF(F849="Address issue",0,COUNTIF($I$2:$I$1001,"address issue"))+COUNTIFS($I$2:$I$1001,"?*",$F$2:$F$1001,IF(F849="Address issue","Address issue","&lt;&gt;Address issue"),$H$2:$H$1001,"&gt;"&amp;H849)+1)</f>
        <v/>
      </c>
    </row>
    <row r="850">
      <c r="A850" s="11" t="n">
        <v>100849</v>
      </c>
      <c r="B850" s="11" t="inlineStr">
        <is>
          <t>Бразилія</t>
        </is>
      </c>
      <c r="C850" s="11" t="inlineStr">
        <is>
          <t>AndesCargo</t>
        </is>
      </c>
      <c r="D850" s="11" t="inlineStr">
        <is>
          <t>AC73101213</t>
        </is>
      </c>
      <c r="E850" s="13" t="n">
        <v>46305</v>
      </c>
      <c r="F850" s="11" t="inlineStr">
        <is>
          <t>In transit</t>
        </is>
      </c>
      <c r="G850" s="13" t="n">
        <v>46310</v>
      </c>
      <c r="H850" s="5">
        <f>IF(G850="","",Rules!$B$1-G850)</f>
        <v/>
      </c>
      <c r="I850" s="5">
        <f>IF(F850="Address issue","address issue",IF(OR(F850="Delivered",F850="Returned to sender",G850=""),"",IF(AND(Rules!$B$3&lt;&gt;"",F850="Held at customs",H850&gt;=Rules!$B$3),"customs &gt;= "&amp;Rules!$B$3&amp;" days",IF(H850&gt;=Rules!$B$2,"idle &gt;= "&amp;Rules!$B$2&amp;" days",""))))</f>
        <v/>
      </c>
      <c r="J850" s="5">
        <f>IF(I850="","",IF(F850="Address issue",0,COUNTIF($I$2:$I$1001,"address issue"))+COUNTIFS($I$2:$I$1001,"?*",$F$2:$F$1001,IF(F850="Address issue","Address issue","&lt;&gt;Address issue"),$H$2:$H$1001,"&gt;"&amp;H850)+1)</f>
        <v/>
      </c>
    </row>
    <row r="851">
      <c r="A851" s="11" t="n">
        <v>100850</v>
      </c>
      <c r="B851" s="11" t="inlineStr">
        <is>
          <t>Бразилія</t>
        </is>
      </c>
      <c r="C851" s="11" t="inlineStr">
        <is>
          <t>SwiftParcel</t>
        </is>
      </c>
      <c r="D851" s="11" t="inlineStr">
        <is>
          <t>SP5307062</t>
        </is>
      </c>
      <c r="E851" s="12" t="n">
        <v>46297</v>
      </c>
      <c r="F851" s="11" t="inlineStr">
        <is>
          <t>Delivered</t>
        </is>
      </c>
      <c r="G851" s="12" t="n">
        <v>46301</v>
      </c>
      <c r="H851" s="5">
        <f>IF(G851="","",Rules!$B$1-G851)</f>
        <v/>
      </c>
      <c r="I851" s="5">
        <f>IF(F851="Address issue","address issue",IF(OR(F851="Delivered",F851="Returned to sender",G851=""),"",IF(AND(Rules!$B$3&lt;&gt;"",F851="Held at customs",H851&gt;=Rules!$B$3),"customs &gt;= "&amp;Rules!$B$3&amp;" days",IF(H851&gt;=Rules!$B$2,"idle &gt;= "&amp;Rules!$B$2&amp;" days",""))))</f>
        <v/>
      </c>
      <c r="J851" s="5">
        <f>IF(I851="","",IF(F851="Address issue",0,COUNTIF($I$2:$I$1001,"address issue"))+COUNTIFS($I$2:$I$1001,"?*",$F$2:$F$1001,IF(F851="Address issue","Address issue","&lt;&gt;Address issue"),$H$2:$H$1001,"&gt;"&amp;H851)+1)</f>
        <v/>
      </c>
    </row>
    <row r="852">
      <c r="A852" s="11" t="n">
        <v>100851</v>
      </c>
      <c r="B852" s="11" t="inlineStr">
        <is>
          <t>Бразилія</t>
        </is>
      </c>
      <c r="C852" s="11" t="inlineStr">
        <is>
          <t>AndesCargo</t>
        </is>
      </c>
      <c r="D852" s="11" t="inlineStr">
        <is>
          <t>AC50586351</t>
        </is>
      </c>
      <c r="E852" s="12" t="n">
        <v>46273</v>
      </c>
      <c r="F852" s="11" t="inlineStr">
        <is>
          <t>Delivered</t>
        </is>
      </c>
      <c r="G852" s="12" t="n">
        <v>46285</v>
      </c>
      <c r="H852" s="5">
        <f>IF(G852="","",Rules!$B$1-G852)</f>
        <v/>
      </c>
      <c r="I852" s="5">
        <f>IF(F852="Address issue","address issue",IF(OR(F852="Delivered",F852="Returned to sender",G852=""),"",IF(AND(Rules!$B$3&lt;&gt;"",F852="Held at customs",H852&gt;=Rules!$B$3),"customs &gt;= "&amp;Rules!$B$3&amp;" days",IF(H852&gt;=Rules!$B$2,"idle &gt;= "&amp;Rules!$B$2&amp;" days",""))))</f>
        <v/>
      </c>
      <c r="J852" s="5">
        <f>IF(I852="","",IF(F852="Address issue",0,COUNTIF($I$2:$I$1001,"address issue"))+COUNTIFS($I$2:$I$1001,"?*",$F$2:$F$1001,IF(F852="Address issue","Address issue","&lt;&gt;Address issue"),$H$2:$H$1001,"&gt;"&amp;H852)+1)</f>
        <v/>
      </c>
    </row>
    <row r="853">
      <c r="A853" s="11" t="n">
        <v>100852</v>
      </c>
      <c r="B853" s="11" t="inlineStr">
        <is>
          <t>Мексика</t>
        </is>
      </c>
      <c r="C853" s="11" t="inlineStr">
        <is>
          <t>SwiftParcel</t>
        </is>
      </c>
      <c r="D853" s="11" t="inlineStr">
        <is>
          <t>SP2569045</t>
        </is>
      </c>
      <c r="E853" s="12" t="n">
        <v>46273</v>
      </c>
      <c r="F853" s="11" t="inlineStr">
        <is>
          <t>Delivered</t>
        </is>
      </c>
      <c r="G853" s="12" t="n">
        <v>46282</v>
      </c>
      <c r="H853" s="5">
        <f>IF(G853="","",Rules!$B$1-G853)</f>
        <v/>
      </c>
      <c r="I853" s="5">
        <f>IF(F853="Address issue","address issue",IF(OR(F853="Delivered",F853="Returned to sender",G853=""),"",IF(AND(Rules!$B$3&lt;&gt;"",F853="Held at customs",H853&gt;=Rules!$B$3),"customs &gt;= "&amp;Rules!$B$3&amp;" days",IF(H853&gt;=Rules!$B$2,"idle &gt;= "&amp;Rules!$B$2&amp;" days",""))))</f>
        <v/>
      </c>
      <c r="J853" s="5">
        <f>IF(I853="","",IF(F853="Address issue",0,COUNTIF($I$2:$I$1001,"address issue"))+COUNTIFS($I$2:$I$1001,"?*",$F$2:$F$1001,IF(F853="Address issue","Address issue","&lt;&gt;Address issue"),$H$2:$H$1001,"&gt;"&amp;H853)+1)</f>
        <v/>
      </c>
    </row>
    <row r="854">
      <c r="A854" s="11" t="n">
        <v>100853</v>
      </c>
      <c r="B854" s="11" t="inlineStr">
        <is>
          <t>Бразилія</t>
        </is>
      </c>
      <c r="C854" s="11" t="inlineStr">
        <is>
          <t>AndesCargo</t>
        </is>
      </c>
      <c r="D854" s="11" t="inlineStr">
        <is>
          <t>AC91016035</t>
        </is>
      </c>
      <c r="E854" s="12" t="n">
        <v>46299</v>
      </c>
      <c r="F854" s="11" t="inlineStr">
        <is>
          <t>Label created</t>
        </is>
      </c>
      <c r="G854" s="12" t="n">
        <v>46299</v>
      </c>
      <c r="H854" s="5">
        <f>IF(G854="","",Rules!$B$1-G854)</f>
        <v/>
      </c>
      <c r="I854" s="5">
        <f>IF(F854="Address issue","address issue",IF(OR(F854="Delivered",F854="Returned to sender",G854=""),"",IF(AND(Rules!$B$3&lt;&gt;"",F854="Held at customs",H854&gt;=Rules!$B$3),"customs &gt;= "&amp;Rules!$B$3&amp;" days",IF(H854&gt;=Rules!$B$2,"idle &gt;= "&amp;Rules!$B$2&amp;" days",""))))</f>
        <v/>
      </c>
      <c r="J854" s="5">
        <f>IF(I854="","",IF(F854="Address issue",0,COUNTIF($I$2:$I$1001,"address issue"))+COUNTIFS($I$2:$I$1001,"?*",$F$2:$F$1001,IF(F854="Address issue","Address issue","&lt;&gt;Address issue"),$H$2:$H$1001,"&gt;"&amp;H854)+1)</f>
        <v/>
      </c>
    </row>
    <row r="855">
      <c r="A855" s="11" t="n">
        <v>100854</v>
      </c>
      <c r="B855" s="11" t="inlineStr">
        <is>
          <t>Мексика</t>
        </is>
      </c>
      <c r="C855" s="11" t="inlineStr">
        <is>
          <t>AndesCargo</t>
        </is>
      </c>
      <c r="D855" s="11" t="inlineStr">
        <is>
          <t>AC92891976</t>
        </is>
      </c>
      <c r="E855" s="12" t="n">
        <v>46273</v>
      </c>
      <c r="F855" s="11" t="inlineStr">
        <is>
          <t>Delivered</t>
        </is>
      </c>
      <c r="G855" s="12" t="n">
        <v>46284</v>
      </c>
      <c r="H855" s="5">
        <f>IF(G855="","",Rules!$B$1-G855)</f>
        <v/>
      </c>
      <c r="I855" s="5">
        <f>IF(F855="Address issue","address issue",IF(OR(F855="Delivered",F855="Returned to sender",G855=""),"",IF(AND(Rules!$B$3&lt;&gt;"",F855="Held at customs",H855&gt;=Rules!$B$3),"customs &gt;= "&amp;Rules!$B$3&amp;" days",IF(H855&gt;=Rules!$B$2,"idle &gt;= "&amp;Rules!$B$2&amp;" days",""))))</f>
        <v/>
      </c>
      <c r="J855" s="5">
        <f>IF(I855="","",IF(F855="Address issue",0,COUNTIF($I$2:$I$1001,"address issue"))+COUNTIFS($I$2:$I$1001,"?*",$F$2:$F$1001,IF(F855="Address issue","Address issue","&lt;&gt;Address issue"),$H$2:$H$1001,"&gt;"&amp;H855)+1)</f>
        <v/>
      </c>
    </row>
    <row r="856">
      <c r="A856" s="11" t="n">
        <v>100855</v>
      </c>
      <c r="B856" s="11" t="inlineStr">
        <is>
          <t>Канада</t>
        </is>
      </c>
      <c r="C856" s="11" t="inlineStr">
        <is>
          <t>PostLink</t>
        </is>
      </c>
      <c r="D856" s="11" t="inlineStr">
        <is>
          <t>PL61903695</t>
        </is>
      </c>
      <c r="E856" s="12" t="n">
        <v>46299</v>
      </c>
      <c r="F856" s="11" t="inlineStr">
        <is>
          <t>Delivered</t>
        </is>
      </c>
      <c r="G856" s="13" t="n">
        <v>46306</v>
      </c>
      <c r="H856" s="5">
        <f>IF(G856="","",Rules!$B$1-G856)</f>
        <v/>
      </c>
      <c r="I856" s="5">
        <f>IF(F856="Address issue","address issue",IF(OR(F856="Delivered",F856="Returned to sender",G856=""),"",IF(AND(Rules!$B$3&lt;&gt;"",F856="Held at customs",H856&gt;=Rules!$B$3),"customs &gt;= "&amp;Rules!$B$3&amp;" days",IF(H856&gt;=Rules!$B$2,"idle &gt;= "&amp;Rules!$B$2&amp;" days",""))))</f>
        <v/>
      </c>
      <c r="J856" s="5">
        <f>IF(I856="","",IF(F856="Address issue",0,COUNTIF($I$2:$I$1001,"address issue"))+COUNTIFS($I$2:$I$1001,"?*",$F$2:$F$1001,IF(F856="Address issue","Address issue","&lt;&gt;Address issue"),$H$2:$H$1001,"&gt;"&amp;H856)+1)</f>
        <v/>
      </c>
    </row>
    <row r="857">
      <c r="A857" s="11" t="n">
        <v>100856</v>
      </c>
      <c r="B857" s="11" t="inlineStr">
        <is>
          <t>Мексика</t>
        </is>
      </c>
      <c r="C857" s="11" t="inlineStr">
        <is>
          <t>SwiftParcel</t>
        </is>
      </c>
      <c r="D857" s="11" t="inlineStr">
        <is>
          <t>SP3406199</t>
        </is>
      </c>
      <c r="E857" s="12" t="n">
        <v>46299</v>
      </c>
      <c r="F857" s="11" t="inlineStr">
        <is>
          <t>Delivered</t>
        </is>
      </c>
      <c r="G857" s="12" t="n">
        <v>46302</v>
      </c>
      <c r="H857" s="5">
        <f>IF(G857="","",Rules!$B$1-G857)</f>
        <v/>
      </c>
      <c r="I857" s="5">
        <f>IF(F857="Address issue","address issue",IF(OR(F857="Delivered",F857="Returned to sender",G857=""),"",IF(AND(Rules!$B$3&lt;&gt;"",F857="Held at customs",H857&gt;=Rules!$B$3),"customs &gt;= "&amp;Rules!$B$3&amp;" days",IF(H857&gt;=Rules!$B$2,"idle &gt;= "&amp;Rules!$B$2&amp;" days",""))))</f>
        <v/>
      </c>
      <c r="J857" s="5">
        <f>IF(I857="","",IF(F857="Address issue",0,COUNTIF($I$2:$I$1001,"address issue"))+COUNTIFS($I$2:$I$1001,"?*",$F$2:$F$1001,IF(F857="Address issue","Address issue","&lt;&gt;Address issue"),$H$2:$H$1001,"&gt;"&amp;H857)+1)</f>
        <v/>
      </c>
    </row>
    <row r="858">
      <c r="A858" s="11" t="n">
        <v>100857</v>
      </c>
      <c r="B858" s="11" t="inlineStr">
        <is>
          <t>Мексика</t>
        </is>
      </c>
      <c r="C858" s="11" t="inlineStr">
        <is>
          <t>AndesCargo</t>
        </is>
      </c>
      <c r="D858" s="11" t="inlineStr">
        <is>
          <t>AC96998703</t>
        </is>
      </c>
      <c r="E858" s="13" t="n">
        <v>46307</v>
      </c>
      <c r="F858" s="11" t="inlineStr">
        <is>
          <t>Delivered</t>
        </is>
      </c>
      <c r="G858" s="13" t="n">
        <v>46310</v>
      </c>
      <c r="H858" s="5">
        <f>IF(G858="","",Rules!$B$1-G858)</f>
        <v/>
      </c>
      <c r="I858" s="5">
        <f>IF(F858="Address issue","address issue",IF(OR(F858="Delivered",F858="Returned to sender",G858=""),"",IF(AND(Rules!$B$3&lt;&gt;"",F858="Held at customs",H858&gt;=Rules!$B$3),"customs &gt;= "&amp;Rules!$B$3&amp;" days",IF(H858&gt;=Rules!$B$2,"idle &gt;= "&amp;Rules!$B$2&amp;" days",""))))</f>
        <v/>
      </c>
      <c r="J858" s="5">
        <f>IF(I858="","",IF(F858="Address issue",0,COUNTIF($I$2:$I$1001,"address issue"))+COUNTIFS($I$2:$I$1001,"?*",$F$2:$F$1001,IF(F858="Address issue","Address issue","&lt;&gt;Address issue"),$H$2:$H$1001,"&gt;"&amp;H858)+1)</f>
        <v/>
      </c>
    </row>
    <row r="859">
      <c r="A859" s="11" t="n">
        <v>100858</v>
      </c>
      <c r="B859" s="11" t="inlineStr">
        <is>
          <t>Канада</t>
        </is>
      </c>
      <c r="C859" s="11" t="inlineStr">
        <is>
          <t>PostLink</t>
        </is>
      </c>
      <c r="D859" s="11" t="inlineStr">
        <is>
          <t>PL96184980</t>
        </is>
      </c>
      <c r="E859" s="12" t="n">
        <v>46292</v>
      </c>
      <c r="F859" s="11" t="inlineStr">
        <is>
          <t>Delivered</t>
        </is>
      </c>
      <c r="G859" s="12" t="n">
        <v>46303</v>
      </c>
      <c r="H859" s="5">
        <f>IF(G859="","",Rules!$B$1-G859)</f>
        <v/>
      </c>
      <c r="I859" s="5">
        <f>IF(F859="Address issue","address issue",IF(OR(F859="Delivered",F859="Returned to sender",G859=""),"",IF(AND(Rules!$B$3&lt;&gt;"",F859="Held at customs",H859&gt;=Rules!$B$3),"customs &gt;= "&amp;Rules!$B$3&amp;" days",IF(H859&gt;=Rules!$B$2,"idle &gt;= "&amp;Rules!$B$2&amp;" days",""))))</f>
        <v/>
      </c>
      <c r="J859" s="5">
        <f>IF(I859="","",IF(F859="Address issue",0,COUNTIF($I$2:$I$1001,"address issue"))+COUNTIFS($I$2:$I$1001,"?*",$F$2:$F$1001,IF(F859="Address issue","Address issue","&lt;&gt;Address issue"),$H$2:$H$1001,"&gt;"&amp;H859)+1)</f>
        <v/>
      </c>
    </row>
    <row r="860">
      <c r="A860" s="11" t="n">
        <v>100859</v>
      </c>
      <c r="B860" s="11" t="inlineStr">
        <is>
          <t>Мексика</t>
        </is>
      </c>
      <c r="C860" s="11" t="inlineStr">
        <is>
          <t>AndesCargo</t>
        </is>
      </c>
      <c r="D860" s="11" t="inlineStr">
        <is>
          <t>AC33915676</t>
        </is>
      </c>
      <c r="E860" s="12" t="n">
        <v>46300</v>
      </c>
      <c r="F860" s="11" t="inlineStr">
        <is>
          <t>Delivered</t>
        </is>
      </c>
      <c r="G860" s="13" t="n">
        <v>46306</v>
      </c>
      <c r="H860" s="5">
        <f>IF(G860="","",Rules!$B$1-G860)</f>
        <v/>
      </c>
      <c r="I860" s="5">
        <f>IF(F860="Address issue","address issue",IF(OR(F860="Delivered",F860="Returned to sender",G860=""),"",IF(AND(Rules!$B$3&lt;&gt;"",F860="Held at customs",H860&gt;=Rules!$B$3),"customs &gt;= "&amp;Rules!$B$3&amp;" days",IF(H860&gt;=Rules!$B$2,"idle &gt;= "&amp;Rules!$B$2&amp;" days",""))))</f>
        <v/>
      </c>
      <c r="J860" s="5">
        <f>IF(I860="","",IF(F860="Address issue",0,COUNTIF($I$2:$I$1001,"address issue"))+COUNTIFS($I$2:$I$1001,"?*",$F$2:$F$1001,IF(F860="Address issue","Address issue","&lt;&gt;Address issue"),$H$2:$H$1001,"&gt;"&amp;H860)+1)</f>
        <v/>
      </c>
    </row>
    <row r="861">
      <c r="A861" s="11" t="n">
        <v>100860</v>
      </c>
      <c r="B861" s="11" t="inlineStr">
        <is>
          <t>Бразилія</t>
        </is>
      </c>
      <c r="C861" s="11" t="inlineStr">
        <is>
          <t>AndesCargo</t>
        </is>
      </c>
      <c r="D861" s="11" t="inlineStr">
        <is>
          <t>AC53031766</t>
        </is>
      </c>
      <c r="E861" s="12" t="n">
        <v>46295</v>
      </c>
      <c r="F861" s="11" t="inlineStr">
        <is>
          <t>Delivered</t>
        </is>
      </c>
      <c r="G861" s="13" t="n">
        <v>46305</v>
      </c>
      <c r="H861" s="5">
        <f>IF(G861="","",Rules!$B$1-G861)</f>
        <v/>
      </c>
      <c r="I861" s="5">
        <f>IF(F861="Address issue","address issue",IF(OR(F861="Delivered",F861="Returned to sender",G861=""),"",IF(AND(Rules!$B$3&lt;&gt;"",F861="Held at customs",H861&gt;=Rules!$B$3),"customs &gt;= "&amp;Rules!$B$3&amp;" days",IF(H861&gt;=Rules!$B$2,"idle &gt;= "&amp;Rules!$B$2&amp;" days",""))))</f>
        <v/>
      </c>
      <c r="J861" s="5">
        <f>IF(I861="","",IF(F861="Address issue",0,COUNTIF($I$2:$I$1001,"address issue"))+COUNTIFS($I$2:$I$1001,"?*",$F$2:$F$1001,IF(F861="Address issue","Address issue","&lt;&gt;Address issue"),$H$2:$H$1001,"&gt;"&amp;H861)+1)</f>
        <v/>
      </c>
    </row>
    <row r="862">
      <c r="A862" s="11" t="n">
        <v>100861</v>
      </c>
      <c r="B862" s="11" t="inlineStr">
        <is>
          <t>Бразилія</t>
        </is>
      </c>
      <c r="C862" s="11" t="inlineStr">
        <is>
          <t>SwiftParcel</t>
        </is>
      </c>
      <c r="D862" s="11" t="inlineStr">
        <is>
          <t>SP9756051</t>
        </is>
      </c>
      <c r="E862" s="13" t="n">
        <v>46305</v>
      </c>
      <c r="F862" s="11" t="inlineStr">
        <is>
          <t>In transit</t>
        </is>
      </c>
      <c r="G862" s="13" t="n">
        <v>46308</v>
      </c>
      <c r="H862" s="5">
        <f>IF(G862="","",Rules!$B$1-G862)</f>
        <v/>
      </c>
      <c r="I862" s="5">
        <f>IF(F862="Address issue","address issue",IF(OR(F862="Delivered",F862="Returned to sender",G862=""),"",IF(AND(Rules!$B$3&lt;&gt;"",F862="Held at customs",H862&gt;=Rules!$B$3),"customs &gt;= "&amp;Rules!$B$3&amp;" days",IF(H862&gt;=Rules!$B$2,"idle &gt;= "&amp;Rules!$B$2&amp;" days",""))))</f>
        <v/>
      </c>
      <c r="J862" s="5">
        <f>IF(I862="","",IF(F862="Address issue",0,COUNTIF($I$2:$I$1001,"address issue"))+COUNTIFS($I$2:$I$1001,"?*",$F$2:$F$1001,IF(F862="Address issue","Address issue","&lt;&gt;Address issue"),$H$2:$H$1001,"&gt;"&amp;H862)+1)</f>
        <v/>
      </c>
    </row>
    <row r="863">
      <c r="A863" s="11" t="n">
        <v>100862</v>
      </c>
      <c r="B863" s="11" t="inlineStr">
        <is>
          <t>Мексика</t>
        </is>
      </c>
      <c r="C863" s="11" t="inlineStr">
        <is>
          <t>AndesCargo</t>
        </is>
      </c>
      <c r="D863" s="11" t="inlineStr">
        <is>
          <t>AC40840451</t>
        </is>
      </c>
      <c r="E863" s="12" t="n">
        <v>46271</v>
      </c>
      <c r="F863" s="11" t="inlineStr">
        <is>
          <t>Delivered</t>
        </is>
      </c>
      <c r="G863" s="12" t="n">
        <v>46281</v>
      </c>
      <c r="H863" s="5">
        <f>IF(G863="","",Rules!$B$1-G863)</f>
        <v/>
      </c>
      <c r="I863" s="5">
        <f>IF(F863="Address issue","address issue",IF(OR(F863="Delivered",F863="Returned to sender",G863=""),"",IF(AND(Rules!$B$3&lt;&gt;"",F863="Held at customs",H863&gt;=Rules!$B$3),"customs &gt;= "&amp;Rules!$B$3&amp;" days",IF(H863&gt;=Rules!$B$2,"idle &gt;= "&amp;Rules!$B$2&amp;" days",""))))</f>
        <v/>
      </c>
      <c r="J863" s="5">
        <f>IF(I863="","",IF(F863="Address issue",0,COUNTIF($I$2:$I$1001,"address issue"))+COUNTIFS($I$2:$I$1001,"?*",$F$2:$F$1001,IF(F863="Address issue","Address issue","&lt;&gt;Address issue"),$H$2:$H$1001,"&gt;"&amp;H863)+1)</f>
        <v/>
      </c>
    </row>
    <row r="864">
      <c r="A864" s="11" t="n">
        <v>100863</v>
      </c>
      <c r="B864" s="11" t="inlineStr">
        <is>
          <t>Мексика</t>
        </is>
      </c>
      <c r="C864" s="11" t="inlineStr">
        <is>
          <t>AndesCargo</t>
        </is>
      </c>
      <c r="D864" s="11" t="inlineStr">
        <is>
          <t>AC30252487</t>
        </is>
      </c>
      <c r="E864" s="12" t="n">
        <v>46295</v>
      </c>
      <c r="F864" s="11" t="inlineStr">
        <is>
          <t>Address issue</t>
        </is>
      </c>
      <c r="G864" s="12" t="n">
        <v>46300</v>
      </c>
      <c r="H864" s="5">
        <f>IF(G864="","",Rules!$B$1-G864)</f>
        <v/>
      </c>
      <c r="I864" s="5">
        <f>IF(F864="Address issue","address issue",IF(OR(F864="Delivered",F864="Returned to sender",G864=""),"",IF(AND(Rules!$B$3&lt;&gt;"",F864="Held at customs",H864&gt;=Rules!$B$3),"customs &gt;= "&amp;Rules!$B$3&amp;" days",IF(H864&gt;=Rules!$B$2,"idle &gt;= "&amp;Rules!$B$2&amp;" days",""))))</f>
        <v/>
      </c>
      <c r="J864" s="5">
        <f>IF(I864="","",IF(F864="Address issue",0,COUNTIF($I$2:$I$1001,"address issue"))+COUNTIFS($I$2:$I$1001,"?*",$F$2:$F$1001,IF(F864="Address issue","Address issue","&lt;&gt;Address issue"),$H$2:$H$1001,"&gt;"&amp;H864)+1)</f>
        <v/>
      </c>
    </row>
    <row r="865">
      <c r="A865" s="11" t="n">
        <v>100864</v>
      </c>
      <c r="B865" s="11" t="inlineStr">
        <is>
          <t>Бразилія</t>
        </is>
      </c>
      <c r="C865" s="11" t="inlineStr">
        <is>
          <t>SwiftParcel</t>
        </is>
      </c>
      <c r="D865" s="11" t="inlineStr">
        <is>
          <t>SP1071574</t>
        </is>
      </c>
      <c r="E865" s="12" t="n">
        <v>46304</v>
      </c>
      <c r="F865" s="11" t="inlineStr">
        <is>
          <t>Delivered</t>
        </is>
      </c>
      <c r="G865" s="13" t="n">
        <v>46307</v>
      </c>
      <c r="H865" s="5">
        <f>IF(G865="","",Rules!$B$1-G865)</f>
        <v/>
      </c>
      <c r="I865" s="5">
        <f>IF(F865="Address issue","address issue",IF(OR(F865="Delivered",F865="Returned to sender",G865=""),"",IF(AND(Rules!$B$3&lt;&gt;"",F865="Held at customs",H865&gt;=Rules!$B$3),"customs &gt;= "&amp;Rules!$B$3&amp;" days",IF(H865&gt;=Rules!$B$2,"idle &gt;= "&amp;Rules!$B$2&amp;" days",""))))</f>
        <v/>
      </c>
      <c r="J865" s="5">
        <f>IF(I865="","",IF(F865="Address issue",0,COUNTIF($I$2:$I$1001,"address issue"))+COUNTIFS($I$2:$I$1001,"?*",$F$2:$F$1001,IF(F865="Address issue","Address issue","&lt;&gt;Address issue"),$H$2:$H$1001,"&gt;"&amp;H865)+1)</f>
        <v/>
      </c>
    </row>
    <row r="866">
      <c r="A866" s="11" t="n">
        <v>100865</v>
      </c>
      <c r="B866" s="11" t="inlineStr">
        <is>
          <t>Бразилія</t>
        </is>
      </c>
      <c r="C866" s="11" t="inlineStr">
        <is>
          <t>AndesCargo</t>
        </is>
      </c>
      <c r="D866" s="11" t="inlineStr">
        <is>
          <t>AC31349912</t>
        </is>
      </c>
      <c r="E866" s="12" t="n">
        <v>46301</v>
      </c>
      <c r="F866" s="11" t="inlineStr">
        <is>
          <t>Delivered</t>
        </is>
      </c>
      <c r="G866" s="13" t="n">
        <v>46309</v>
      </c>
      <c r="H866" s="5">
        <f>IF(G866="","",Rules!$B$1-G866)</f>
        <v/>
      </c>
      <c r="I866" s="5">
        <f>IF(F866="Address issue","address issue",IF(OR(F866="Delivered",F866="Returned to sender",G866=""),"",IF(AND(Rules!$B$3&lt;&gt;"",F866="Held at customs",H866&gt;=Rules!$B$3),"customs &gt;= "&amp;Rules!$B$3&amp;" days",IF(H866&gt;=Rules!$B$2,"idle &gt;= "&amp;Rules!$B$2&amp;" days",""))))</f>
        <v/>
      </c>
      <c r="J866" s="5">
        <f>IF(I866="","",IF(F866="Address issue",0,COUNTIF($I$2:$I$1001,"address issue"))+COUNTIFS($I$2:$I$1001,"?*",$F$2:$F$1001,IF(F866="Address issue","Address issue","&lt;&gt;Address issue"),$H$2:$H$1001,"&gt;"&amp;H866)+1)</f>
        <v/>
      </c>
    </row>
    <row r="867">
      <c r="A867" s="11" t="n">
        <v>100866</v>
      </c>
      <c r="B867" s="11" t="inlineStr">
        <is>
          <t>Бразилія</t>
        </is>
      </c>
      <c r="C867" s="11" t="inlineStr">
        <is>
          <t>SwiftParcel</t>
        </is>
      </c>
      <c r="D867" s="11" t="inlineStr">
        <is>
          <t>SP5886622</t>
        </is>
      </c>
      <c r="E867" s="12" t="n">
        <v>46300</v>
      </c>
      <c r="F867" s="11" t="inlineStr">
        <is>
          <t>Delivered</t>
        </is>
      </c>
      <c r="G867" s="12" t="n">
        <v>46303</v>
      </c>
      <c r="H867" s="5">
        <f>IF(G867="","",Rules!$B$1-G867)</f>
        <v/>
      </c>
      <c r="I867" s="5">
        <f>IF(F867="Address issue","address issue",IF(OR(F867="Delivered",F867="Returned to sender",G867=""),"",IF(AND(Rules!$B$3&lt;&gt;"",F867="Held at customs",H867&gt;=Rules!$B$3),"customs &gt;= "&amp;Rules!$B$3&amp;" days",IF(H867&gt;=Rules!$B$2,"idle &gt;= "&amp;Rules!$B$2&amp;" days",""))))</f>
        <v/>
      </c>
      <c r="J867" s="5">
        <f>IF(I867="","",IF(F867="Address issue",0,COUNTIF($I$2:$I$1001,"address issue"))+COUNTIFS($I$2:$I$1001,"?*",$F$2:$F$1001,IF(F867="Address issue","Address issue","&lt;&gt;Address issue"),$H$2:$H$1001,"&gt;"&amp;H867)+1)</f>
        <v/>
      </c>
    </row>
    <row r="868">
      <c r="A868" s="11" t="n">
        <v>100867</v>
      </c>
      <c r="B868" s="11" t="inlineStr">
        <is>
          <t>Бразилія</t>
        </is>
      </c>
      <c r="C868" s="11" t="inlineStr">
        <is>
          <t>SwiftParcel</t>
        </is>
      </c>
      <c r="D868" s="11" t="inlineStr">
        <is>
          <t>SP2500118</t>
        </is>
      </c>
      <c r="E868" s="12" t="n">
        <v>46301</v>
      </c>
      <c r="F868" s="11" t="inlineStr">
        <is>
          <t>In transit</t>
        </is>
      </c>
      <c r="G868" s="13" t="n">
        <v>46307</v>
      </c>
      <c r="H868" s="5">
        <f>IF(G868="","",Rules!$B$1-G868)</f>
        <v/>
      </c>
      <c r="I868" s="5">
        <f>IF(F868="Address issue","address issue",IF(OR(F868="Delivered",F868="Returned to sender",G868=""),"",IF(AND(Rules!$B$3&lt;&gt;"",F868="Held at customs",H868&gt;=Rules!$B$3),"customs &gt;= "&amp;Rules!$B$3&amp;" days",IF(H868&gt;=Rules!$B$2,"idle &gt;= "&amp;Rules!$B$2&amp;" days",""))))</f>
        <v/>
      </c>
      <c r="J868" s="5">
        <f>IF(I868="","",IF(F868="Address issue",0,COUNTIF($I$2:$I$1001,"address issue"))+COUNTIFS($I$2:$I$1001,"?*",$F$2:$F$1001,IF(F868="Address issue","Address issue","&lt;&gt;Address issue"),$H$2:$H$1001,"&gt;"&amp;H868)+1)</f>
        <v/>
      </c>
    </row>
    <row r="869">
      <c r="A869" s="11" t="n">
        <v>100868</v>
      </c>
      <c r="B869" s="11" t="inlineStr">
        <is>
          <t>Бразилія</t>
        </is>
      </c>
      <c r="C869" s="11" t="inlineStr">
        <is>
          <t>SwiftParcel</t>
        </is>
      </c>
      <c r="D869" s="11" t="inlineStr">
        <is>
          <t>SP7209095</t>
        </is>
      </c>
      <c r="E869" s="12" t="n">
        <v>46283</v>
      </c>
      <c r="F869" s="11" t="inlineStr">
        <is>
          <t>Delivered</t>
        </is>
      </c>
      <c r="G869" s="12" t="n">
        <v>46287</v>
      </c>
      <c r="H869" s="5">
        <f>IF(G869="","",Rules!$B$1-G869)</f>
        <v/>
      </c>
      <c r="I869" s="5">
        <f>IF(F869="Address issue","address issue",IF(OR(F869="Delivered",F869="Returned to sender",G869=""),"",IF(AND(Rules!$B$3&lt;&gt;"",F869="Held at customs",H869&gt;=Rules!$B$3),"customs &gt;= "&amp;Rules!$B$3&amp;" days",IF(H869&gt;=Rules!$B$2,"idle &gt;= "&amp;Rules!$B$2&amp;" days",""))))</f>
        <v/>
      </c>
      <c r="J869" s="5">
        <f>IF(I869="","",IF(F869="Address issue",0,COUNTIF($I$2:$I$1001,"address issue"))+COUNTIFS($I$2:$I$1001,"?*",$F$2:$F$1001,IF(F869="Address issue","Address issue","&lt;&gt;Address issue"),$H$2:$H$1001,"&gt;"&amp;H869)+1)</f>
        <v/>
      </c>
    </row>
    <row r="870">
      <c r="A870" s="11" t="n">
        <v>100869</v>
      </c>
      <c r="B870" s="11" t="inlineStr">
        <is>
          <t>Канада</t>
        </is>
      </c>
      <c r="C870" s="11" t="inlineStr">
        <is>
          <t>PostLink</t>
        </is>
      </c>
      <c r="D870" s="11" t="inlineStr">
        <is>
          <t>PL70150905</t>
        </is>
      </c>
      <c r="E870" s="12" t="n">
        <v>46287</v>
      </c>
      <c r="F870" s="11" t="inlineStr">
        <is>
          <t>Delivered</t>
        </is>
      </c>
      <c r="G870" s="12" t="n">
        <v>46296</v>
      </c>
      <c r="H870" s="5">
        <f>IF(G870="","",Rules!$B$1-G870)</f>
        <v/>
      </c>
      <c r="I870" s="5">
        <f>IF(F870="Address issue","address issue",IF(OR(F870="Delivered",F870="Returned to sender",G870=""),"",IF(AND(Rules!$B$3&lt;&gt;"",F870="Held at customs",H870&gt;=Rules!$B$3),"customs &gt;= "&amp;Rules!$B$3&amp;" days",IF(H870&gt;=Rules!$B$2,"idle &gt;= "&amp;Rules!$B$2&amp;" days",""))))</f>
        <v/>
      </c>
      <c r="J870" s="5">
        <f>IF(I870="","",IF(F870="Address issue",0,COUNTIF($I$2:$I$1001,"address issue"))+COUNTIFS($I$2:$I$1001,"?*",$F$2:$F$1001,IF(F870="Address issue","Address issue","&lt;&gt;Address issue"),$H$2:$H$1001,"&gt;"&amp;H870)+1)</f>
        <v/>
      </c>
    </row>
    <row r="871">
      <c r="A871" s="11" t="n">
        <v>100870</v>
      </c>
      <c r="B871" s="11" t="inlineStr">
        <is>
          <t>Бразилія</t>
        </is>
      </c>
      <c r="C871" s="11" t="inlineStr">
        <is>
          <t>SwiftParcel</t>
        </is>
      </c>
      <c r="D871" s="11" t="inlineStr">
        <is>
          <t>SP4958603</t>
        </is>
      </c>
      <c r="E871" s="12" t="n">
        <v>46298</v>
      </c>
      <c r="F871" s="11" t="inlineStr">
        <is>
          <t>In transit</t>
        </is>
      </c>
      <c r="G871" s="12" t="n">
        <v>46300</v>
      </c>
      <c r="H871" s="5">
        <f>IF(G871="","",Rules!$B$1-G871)</f>
        <v/>
      </c>
      <c r="I871" s="5">
        <f>IF(F871="Address issue","address issue",IF(OR(F871="Delivered",F871="Returned to sender",G871=""),"",IF(AND(Rules!$B$3&lt;&gt;"",F871="Held at customs",H871&gt;=Rules!$B$3),"customs &gt;= "&amp;Rules!$B$3&amp;" days",IF(H871&gt;=Rules!$B$2,"idle &gt;= "&amp;Rules!$B$2&amp;" days",""))))</f>
        <v/>
      </c>
      <c r="J871" s="5">
        <f>IF(I871="","",IF(F871="Address issue",0,COUNTIF($I$2:$I$1001,"address issue"))+COUNTIFS($I$2:$I$1001,"?*",$F$2:$F$1001,IF(F871="Address issue","Address issue","&lt;&gt;Address issue"),$H$2:$H$1001,"&gt;"&amp;H871)+1)</f>
        <v/>
      </c>
    </row>
    <row r="872">
      <c r="A872" s="11" t="n">
        <v>100871</v>
      </c>
      <c r="B872" s="11" t="inlineStr">
        <is>
          <t>Мексика</t>
        </is>
      </c>
      <c r="C872" s="11" t="inlineStr">
        <is>
          <t>AndesCargo</t>
        </is>
      </c>
      <c r="D872" s="11" t="inlineStr">
        <is>
          <t>AC26380850</t>
        </is>
      </c>
      <c r="E872" s="12" t="n">
        <v>46295</v>
      </c>
      <c r="F872" s="11" t="inlineStr">
        <is>
          <t>Delivered</t>
        </is>
      </c>
      <c r="G872" s="12" t="n">
        <v>46299</v>
      </c>
      <c r="H872" s="5">
        <f>IF(G872="","",Rules!$B$1-G872)</f>
        <v/>
      </c>
      <c r="I872" s="5">
        <f>IF(F872="Address issue","address issue",IF(OR(F872="Delivered",F872="Returned to sender",G872=""),"",IF(AND(Rules!$B$3&lt;&gt;"",F872="Held at customs",H872&gt;=Rules!$B$3),"customs &gt;= "&amp;Rules!$B$3&amp;" days",IF(H872&gt;=Rules!$B$2,"idle &gt;= "&amp;Rules!$B$2&amp;" days",""))))</f>
        <v/>
      </c>
      <c r="J872" s="5">
        <f>IF(I872="","",IF(F872="Address issue",0,COUNTIF($I$2:$I$1001,"address issue"))+COUNTIFS($I$2:$I$1001,"?*",$F$2:$F$1001,IF(F872="Address issue","Address issue","&lt;&gt;Address issue"),$H$2:$H$1001,"&gt;"&amp;H872)+1)</f>
        <v/>
      </c>
    </row>
    <row r="873">
      <c r="A873" s="11" t="n">
        <v>100872</v>
      </c>
      <c r="B873" s="11" t="inlineStr">
        <is>
          <t>Мексика</t>
        </is>
      </c>
      <c r="C873" s="11" t="inlineStr">
        <is>
          <t>AndesCargo</t>
        </is>
      </c>
      <c r="D873" s="11" t="inlineStr">
        <is>
          <t>AC94435188</t>
        </is>
      </c>
      <c r="E873" s="12" t="n">
        <v>46301</v>
      </c>
      <c r="F873" s="11" t="inlineStr">
        <is>
          <t>In transit</t>
        </is>
      </c>
      <c r="G873" s="13" t="n">
        <v>46306</v>
      </c>
      <c r="H873" s="5">
        <f>IF(G873="","",Rules!$B$1-G873)</f>
        <v/>
      </c>
      <c r="I873" s="5">
        <f>IF(F873="Address issue","address issue",IF(OR(F873="Delivered",F873="Returned to sender",G873=""),"",IF(AND(Rules!$B$3&lt;&gt;"",F873="Held at customs",H873&gt;=Rules!$B$3),"customs &gt;= "&amp;Rules!$B$3&amp;" days",IF(H873&gt;=Rules!$B$2,"idle &gt;= "&amp;Rules!$B$2&amp;" days",""))))</f>
        <v/>
      </c>
      <c r="J873" s="5">
        <f>IF(I873="","",IF(F873="Address issue",0,COUNTIF($I$2:$I$1001,"address issue"))+COUNTIFS($I$2:$I$1001,"?*",$F$2:$F$1001,IF(F873="Address issue","Address issue","&lt;&gt;Address issue"),$H$2:$H$1001,"&gt;"&amp;H873)+1)</f>
        <v/>
      </c>
    </row>
    <row r="874">
      <c r="A874" s="11" t="n">
        <v>100873</v>
      </c>
      <c r="B874" s="11" t="inlineStr">
        <is>
          <t>Бразилія</t>
        </is>
      </c>
      <c r="C874" s="11" t="inlineStr">
        <is>
          <t>SwiftParcel</t>
        </is>
      </c>
      <c r="D874" s="11" t="inlineStr">
        <is>
          <t>SP4552621</t>
        </is>
      </c>
      <c r="E874" s="12" t="n">
        <v>46301</v>
      </c>
      <c r="F874" s="11" t="inlineStr">
        <is>
          <t>Address issue</t>
        </is>
      </c>
      <c r="G874" s="13" t="n">
        <v>46308</v>
      </c>
      <c r="H874" s="5">
        <f>IF(G874="","",Rules!$B$1-G874)</f>
        <v/>
      </c>
      <c r="I874" s="5">
        <f>IF(F874="Address issue","address issue",IF(OR(F874="Delivered",F874="Returned to sender",G874=""),"",IF(AND(Rules!$B$3&lt;&gt;"",F874="Held at customs",H874&gt;=Rules!$B$3),"customs &gt;= "&amp;Rules!$B$3&amp;" days",IF(H874&gt;=Rules!$B$2,"idle &gt;= "&amp;Rules!$B$2&amp;" days",""))))</f>
        <v/>
      </c>
      <c r="J874" s="5">
        <f>IF(I874="","",IF(F874="Address issue",0,COUNTIF($I$2:$I$1001,"address issue"))+COUNTIFS($I$2:$I$1001,"?*",$F$2:$F$1001,IF(F874="Address issue","Address issue","&lt;&gt;Address issue"),$H$2:$H$1001,"&gt;"&amp;H874)+1)</f>
        <v/>
      </c>
    </row>
    <row r="875">
      <c r="A875" s="11" t="n">
        <v>100874</v>
      </c>
      <c r="B875" s="11" t="inlineStr">
        <is>
          <t>Мексика</t>
        </is>
      </c>
      <c r="C875" s="11" t="inlineStr">
        <is>
          <t>AndesCargo</t>
        </is>
      </c>
      <c r="D875" s="11" t="inlineStr">
        <is>
          <t>AC68235488</t>
        </is>
      </c>
      <c r="E875" s="12" t="n">
        <v>46300</v>
      </c>
      <c r="F875" s="11" t="inlineStr">
        <is>
          <t>Delivered</t>
        </is>
      </c>
      <c r="G875" s="12" t="n">
        <v>46304</v>
      </c>
      <c r="H875" s="5">
        <f>IF(G875="","",Rules!$B$1-G875)</f>
        <v/>
      </c>
      <c r="I875" s="5">
        <f>IF(F875="Address issue","address issue",IF(OR(F875="Delivered",F875="Returned to sender",G875=""),"",IF(AND(Rules!$B$3&lt;&gt;"",F875="Held at customs",H875&gt;=Rules!$B$3),"customs &gt;= "&amp;Rules!$B$3&amp;" days",IF(H875&gt;=Rules!$B$2,"idle &gt;= "&amp;Rules!$B$2&amp;" days",""))))</f>
        <v/>
      </c>
      <c r="J875" s="5">
        <f>IF(I875="","",IF(F875="Address issue",0,COUNTIF($I$2:$I$1001,"address issue"))+COUNTIFS($I$2:$I$1001,"?*",$F$2:$F$1001,IF(F875="Address issue","Address issue","&lt;&gt;Address issue"),$H$2:$H$1001,"&gt;"&amp;H875)+1)</f>
        <v/>
      </c>
    </row>
    <row r="876">
      <c r="A876" s="11" t="n">
        <v>100875</v>
      </c>
      <c r="B876" s="11" t="inlineStr">
        <is>
          <t>Канада</t>
        </is>
      </c>
      <c r="C876" s="11" t="inlineStr">
        <is>
          <t>PostLink</t>
        </is>
      </c>
      <c r="D876" s="11" t="inlineStr">
        <is>
          <t>PL44391917</t>
        </is>
      </c>
      <c r="E876" s="12" t="n">
        <v>46296</v>
      </c>
      <c r="F876" s="11" t="inlineStr">
        <is>
          <t>Delivered</t>
        </is>
      </c>
      <c r="G876" s="12" t="n">
        <v>46303</v>
      </c>
      <c r="H876" s="5">
        <f>IF(G876="","",Rules!$B$1-G876)</f>
        <v/>
      </c>
      <c r="I876" s="5">
        <f>IF(F876="Address issue","address issue",IF(OR(F876="Delivered",F876="Returned to sender",G876=""),"",IF(AND(Rules!$B$3&lt;&gt;"",F876="Held at customs",H876&gt;=Rules!$B$3),"customs &gt;= "&amp;Rules!$B$3&amp;" days",IF(H876&gt;=Rules!$B$2,"idle &gt;= "&amp;Rules!$B$2&amp;" days",""))))</f>
        <v/>
      </c>
      <c r="J876" s="5">
        <f>IF(I876="","",IF(F876="Address issue",0,COUNTIF($I$2:$I$1001,"address issue"))+COUNTIFS($I$2:$I$1001,"?*",$F$2:$F$1001,IF(F876="Address issue","Address issue","&lt;&gt;Address issue"),$H$2:$H$1001,"&gt;"&amp;H876)+1)</f>
        <v/>
      </c>
    </row>
    <row r="877">
      <c r="A877" s="11" t="n">
        <v>100876</v>
      </c>
      <c r="B877" s="11" t="inlineStr">
        <is>
          <t>Бразилія</t>
        </is>
      </c>
      <c r="C877" s="11" t="inlineStr">
        <is>
          <t>SwiftParcel</t>
        </is>
      </c>
      <c r="D877" s="11" t="inlineStr">
        <is>
          <t>SP7481682</t>
        </is>
      </c>
      <c r="E877" s="12" t="n">
        <v>46293</v>
      </c>
      <c r="F877" s="11" t="inlineStr">
        <is>
          <t>Returned to sender</t>
        </is>
      </c>
      <c r="G877" s="12" t="n">
        <v>46301</v>
      </c>
      <c r="H877" s="5">
        <f>IF(G877="","",Rules!$B$1-G877)</f>
        <v/>
      </c>
      <c r="I877" s="5">
        <f>IF(F877="Address issue","address issue",IF(OR(F877="Delivered",F877="Returned to sender",G877=""),"",IF(AND(Rules!$B$3&lt;&gt;"",F877="Held at customs",H877&gt;=Rules!$B$3),"customs &gt;= "&amp;Rules!$B$3&amp;" days",IF(H877&gt;=Rules!$B$2,"idle &gt;= "&amp;Rules!$B$2&amp;" days",""))))</f>
        <v/>
      </c>
      <c r="J877" s="5">
        <f>IF(I877="","",IF(F877="Address issue",0,COUNTIF($I$2:$I$1001,"address issue"))+COUNTIFS($I$2:$I$1001,"?*",$F$2:$F$1001,IF(F877="Address issue","Address issue","&lt;&gt;Address issue"),$H$2:$H$1001,"&gt;"&amp;H877)+1)</f>
        <v/>
      </c>
    </row>
    <row r="878">
      <c r="A878" s="11" t="n">
        <v>100877</v>
      </c>
      <c r="B878" s="11" t="inlineStr">
        <is>
          <t>Мексика</t>
        </is>
      </c>
      <c r="C878" s="11" t="inlineStr">
        <is>
          <t>AndesCargo</t>
        </is>
      </c>
      <c r="D878" s="11" t="inlineStr">
        <is>
          <t>AC74696152</t>
        </is>
      </c>
      <c r="E878" s="12" t="n">
        <v>46296</v>
      </c>
      <c r="F878" s="11" t="inlineStr">
        <is>
          <t>Held at customs</t>
        </is>
      </c>
      <c r="G878" s="12" t="n">
        <v>46304</v>
      </c>
      <c r="H878" s="5">
        <f>IF(G878="","",Rules!$B$1-G878)</f>
        <v/>
      </c>
      <c r="I878" s="5">
        <f>IF(F878="Address issue","address issue",IF(OR(F878="Delivered",F878="Returned to sender",G878=""),"",IF(AND(Rules!$B$3&lt;&gt;"",F878="Held at customs",H878&gt;=Rules!$B$3),"customs &gt;= "&amp;Rules!$B$3&amp;" days",IF(H878&gt;=Rules!$B$2,"idle &gt;= "&amp;Rules!$B$2&amp;" days",""))))</f>
        <v/>
      </c>
      <c r="J878" s="5">
        <f>IF(I878="","",IF(F878="Address issue",0,COUNTIF($I$2:$I$1001,"address issue"))+COUNTIFS($I$2:$I$1001,"?*",$F$2:$F$1001,IF(F878="Address issue","Address issue","&lt;&gt;Address issue"),$H$2:$H$1001,"&gt;"&amp;H878)+1)</f>
        <v/>
      </c>
    </row>
    <row r="879">
      <c r="A879" s="11" t="n">
        <v>100878</v>
      </c>
      <c r="B879" s="11" t="inlineStr">
        <is>
          <t>Канада</t>
        </is>
      </c>
      <c r="C879" s="11" t="inlineStr">
        <is>
          <t>PostLink</t>
        </is>
      </c>
      <c r="D879" s="11" t="inlineStr">
        <is>
          <t>PL54760646</t>
        </is>
      </c>
      <c r="E879" s="12" t="n">
        <v>46292</v>
      </c>
      <c r="F879" s="11" t="inlineStr">
        <is>
          <t>Delivered</t>
        </is>
      </c>
      <c r="G879" s="12" t="n">
        <v>46304</v>
      </c>
      <c r="H879" s="5">
        <f>IF(G879="","",Rules!$B$1-G879)</f>
        <v/>
      </c>
      <c r="I879" s="5">
        <f>IF(F879="Address issue","address issue",IF(OR(F879="Delivered",F879="Returned to sender",G879=""),"",IF(AND(Rules!$B$3&lt;&gt;"",F879="Held at customs",H879&gt;=Rules!$B$3),"customs &gt;= "&amp;Rules!$B$3&amp;" days",IF(H879&gt;=Rules!$B$2,"idle &gt;= "&amp;Rules!$B$2&amp;" days",""))))</f>
        <v/>
      </c>
      <c r="J879" s="5">
        <f>IF(I879="","",IF(F879="Address issue",0,COUNTIF($I$2:$I$1001,"address issue"))+COUNTIFS($I$2:$I$1001,"?*",$F$2:$F$1001,IF(F879="Address issue","Address issue","&lt;&gt;Address issue"),$H$2:$H$1001,"&gt;"&amp;H879)+1)</f>
        <v/>
      </c>
    </row>
    <row r="880">
      <c r="A880" s="11" t="n">
        <v>100879</v>
      </c>
      <c r="B880" s="11" t="inlineStr">
        <is>
          <t>Канада</t>
        </is>
      </c>
      <c r="C880" s="11" t="inlineStr">
        <is>
          <t>PostLink</t>
        </is>
      </c>
      <c r="D880" s="11" t="inlineStr">
        <is>
          <t>PL90256957</t>
        </is>
      </c>
      <c r="E880" s="12" t="n">
        <v>46294</v>
      </c>
      <c r="F880" s="11" t="inlineStr">
        <is>
          <t>Delivered</t>
        </is>
      </c>
      <c r="G880" s="12" t="n">
        <v>46300</v>
      </c>
      <c r="H880" s="5">
        <f>IF(G880="","",Rules!$B$1-G880)</f>
        <v/>
      </c>
      <c r="I880" s="5">
        <f>IF(F880="Address issue","address issue",IF(OR(F880="Delivered",F880="Returned to sender",G880=""),"",IF(AND(Rules!$B$3&lt;&gt;"",F880="Held at customs",H880&gt;=Rules!$B$3),"customs &gt;= "&amp;Rules!$B$3&amp;" days",IF(H880&gt;=Rules!$B$2,"idle &gt;= "&amp;Rules!$B$2&amp;" days",""))))</f>
        <v/>
      </c>
      <c r="J880" s="5">
        <f>IF(I880="","",IF(F880="Address issue",0,COUNTIF($I$2:$I$1001,"address issue"))+COUNTIFS($I$2:$I$1001,"?*",$F$2:$F$1001,IF(F880="Address issue","Address issue","&lt;&gt;Address issue"),$H$2:$H$1001,"&gt;"&amp;H880)+1)</f>
        <v/>
      </c>
    </row>
    <row r="881">
      <c r="A881" s="11" t="n">
        <v>100880</v>
      </c>
      <c r="B881" s="11" t="inlineStr">
        <is>
          <t>Бразилія</t>
        </is>
      </c>
      <c r="C881" s="11" t="inlineStr">
        <is>
          <t>SwiftParcel</t>
        </is>
      </c>
      <c r="D881" s="11" t="inlineStr">
        <is>
          <t>SP3224483</t>
        </is>
      </c>
      <c r="E881" s="12" t="n">
        <v>46289</v>
      </c>
      <c r="F881" s="11" t="inlineStr">
        <is>
          <t>In transit</t>
        </is>
      </c>
      <c r="G881" s="12" t="n">
        <v>46291</v>
      </c>
      <c r="H881" s="5">
        <f>IF(G881="","",Rules!$B$1-G881)</f>
        <v/>
      </c>
      <c r="I881" s="5">
        <f>IF(F881="Address issue","address issue",IF(OR(F881="Delivered",F881="Returned to sender",G881=""),"",IF(AND(Rules!$B$3&lt;&gt;"",F881="Held at customs",H881&gt;=Rules!$B$3),"customs &gt;= "&amp;Rules!$B$3&amp;" days",IF(H881&gt;=Rules!$B$2,"idle &gt;= "&amp;Rules!$B$2&amp;" days",""))))</f>
        <v/>
      </c>
      <c r="J881" s="5">
        <f>IF(I881="","",IF(F881="Address issue",0,COUNTIF($I$2:$I$1001,"address issue"))+COUNTIFS($I$2:$I$1001,"?*",$F$2:$F$1001,IF(F881="Address issue","Address issue","&lt;&gt;Address issue"),$H$2:$H$1001,"&gt;"&amp;H881)+1)</f>
        <v/>
      </c>
    </row>
    <row r="882">
      <c r="A882" s="11" t="n">
        <v>100881</v>
      </c>
      <c r="B882" s="11" t="inlineStr">
        <is>
          <t>Мексика</t>
        </is>
      </c>
      <c r="C882" s="11" t="inlineStr">
        <is>
          <t>AndesCargo</t>
        </is>
      </c>
      <c r="D882" s="11" t="inlineStr">
        <is>
          <t>AC85725131</t>
        </is>
      </c>
      <c r="E882" s="12" t="n">
        <v>46282</v>
      </c>
      <c r="F882" s="11" t="inlineStr">
        <is>
          <t>Delivered</t>
        </is>
      </c>
      <c r="G882" s="12" t="n">
        <v>46290</v>
      </c>
      <c r="H882" s="5">
        <f>IF(G882="","",Rules!$B$1-G882)</f>
        <v/>
      </c>
      <c r="I882" s="5">
        <f>IF(F882="Address issue","address issue",IF(OR(F882="Delivered",F882="Returned to sender",G882=""),"",IF(AND(Rules!$B$3&lt;&gt;"",F882="Held at customs",H882&gt;=Rules!$B$3),"customs &gt;= "&amp;Rules!$B$3&amp;" days",IF(H882&gt;=Rules!$B$2,"idle &gt;= "&amp;Rules!$B$2&amp;" days",""))))</f>
        <v/>
      </c>
      <c r="J882" s="5">
        <f>IF(I882="","",IF(F882="Address issue",0,COUNTIF($I$2:$I$1001,"address issue"))+COUNTIFS($I$2:$I$1001,"?*",$F$2:$F$1001,IF(F882="Address issue","Address issue","&lt;&gt;Address issue"),$H$2:$H$1001,"&gt;"&amp;H882)+1)</f>
        <v/>
      </c>
    </row>
    <row r="883">
      <c r="A883" s="11" t="n">
        <v>100882</v>
      </c>
      <c r="B883" s="11" t="inlineStr">
        <is>
          <t>Канада</t>
        </is>
      </c>
      <c r="C883" s="11" t="inlineStr">
        <is>
          <t>PostLink</t>
        </is>
      </c>
      <c r="D883" s="11" t="inlineStr">
        <is>
          <t>PL47326828</t>
        </is>
      </c>
      <c r="E883" s="12" t="n">
        <v>46303</v>
      </c>
      <c r="F883" s="11" t="inlineStr">
        <is>
          <t>In transit</t>
        </is>
      </c>
      <c r="G883" s="13" t="n">
        <v>46307</v>
      </c>
      <c r="H883" s="5">
        <f>IF(G883="","",Rules!$B$1-G883)</f>
        <v/>
      </c>
      <c r="I883" s="5">
        <f>IF(F883="Address issue","address issue",IF(OR(F883="Delivered",F883="Returned to sender",G883=""),"",IF(AND(Rules!$B$3&lt;&gt;"",F883="Held at customs",H883&gt;=Rules!$B$3),"customs &gt;= "&amp;Rules!$B$3&amp;" days",IF(H883&gt;=Rules!$B$2,"idle &gt;= "&amp;Rules!$B$2&amp;" days",""))))</f>
        <v/>
      </c>
      <c r="J883" s="5">
        <f>IF(I883="","",IF(F883="Address issue",0,COUNTIF($I$2:$I$1001,"address issue"))+COUNTIFS($I$2:$I$1001,"?*",$F$2:$F$1001,IF(F883="Address issue","Address issue","&lt;&gt;Address issue"),$H$2:$H$1001,"&gt;"&amp;H883)+1)</f>
        <v/>
      </c>
    </row>
    <row r="884">
      <c r="A884" s="11" t="n">
        <v>100883</v>
      </c>
      <c r="B884" s="11" t="inlineStr">
        <is>
          <t>Мексика</t>
        </is>
      </c>
      <c r="C884" s="11" t="inlineStr">
        <is>
          <t>AndesCargo</t>
        </is>
      </c>
      <c r="D884" s="11" t="inlineStr">
        <is>
          <t>AC39999266</t>
        </is>
      </c>
      <c r="E884" s="12" t="n">
        <v>46299</v>
      </c>
      <c r="F884" s="11" t="inlineStr">
        <is>
          <t>Delivered</t>
        </is>
      </c>
      <c r="G884" s="13" t="n">
        <v>46307</v>
      </c>
      <c r="H884" s="5">
        <f>IF(G884="","",Rules!$B$1-G884)</f>
        <v/>
      </c>
      <c r="I884" s="5">
        <f>IF(F884="Address issue","address issue",IF(OR(F884="Delivered",F884="Returned to sender",G884=""),"",IF(AND(Rules!$B$3&lt;&gt;"",F884="Held at customs",H884&gt;=Rules!$B$3),"customs &gt;= "&amp;Rules!$B$3&amp;" days",IF(H884&gt;=Rules!$B$2,"idle &gt;= "&amp;Rules!$B$2&amp;" days",""))))</f>
        <v/>
      </c>
      <c r="J884" s="5">
        <f>IF(I884="","",IF(F884="Address issue",0,COUNTIF($I$2:$I$1001,"address issue"))+COUNTIFS($I$2:$I$1001,"?*",$F$2:$F$1001,IF(F884="Address issue","Address issue","&lt;&gt;Address issue"),$H$2:$H$1001,"&gt;"&amp;H884)+1)</f>
        <v/>
      </c>
    </row>
    <row r="885">
      <c r="A885" s="11" t="n">
        <v>100884</v>
      </c>
      <c r="B885" s="11" t="inlineStr">
        <is>
          <t>Бразилія</t>
        </is>
      </c>
      <c r="C885" s="11" t="inlineStr">
        <is>
          <t>SwiftParcel</t>
        </is>
      </c>
      <c r="D885" s="11" t="inlineStr">
        <is>
          <t>SP4539877</t>
        </is>
      </c>
      <c r="E885" s="12" t="n">
        <v>46298</v>
      </c>
      <c r="F885" s="11" t="inlineStr">
        <is>
          <t>Delivered</t>
        </is>
      </c>
      <c r="G885" s="13" t="n">
        <v>46307</v>
      </c>
      <c r="H885" s="5">
        <f>IF(G885="","",Rules!$B$1-G885)</f>
        <v/>
      </c>
      <c r="I885" s="5">
        <f>IF(F885="Address issue","address issue",IF(OR(F885="Delivered",F885="Returned to sender",G885=""),"",IF(AND(Rules!$B$3&lt;&gt;"",F885="Held at customs",H885&gt;=Rules!$B$3),"customs &gt;= "&amp;Rules!$B$3&amp;" days",IF(H885&gt;=Rules!$B$2,"idle &gt;= "&amp;Rules!$B$2&amp;" days",""))))</f>
        <v/>
      </c>
      <c r="J885" s="5">
        <f>IF(I885="","",IF(F885="Address issue",0,COUNTIF($I$2:$I$1001,"address issue"))+COUNTIFS($I$2:$I$1001,"?*",$F$2:$F$1001,IF(F885="Address issue","Address issue","&lt;&gt;Address issue"),$H$2:$H$1001,"&gt;"&amp;H885)+1)</f>
        <v/>
      </c>
    </row>
    <row r="886">
      <c r="A886" s="11" t="n">
        <v>100885</v>
      </c>
      <c r="B886" s="11" t="inlineStr">
        <is>
          <t>Бразилія</t>
        </is>
      </c>
      <c r="C886" s="11" t="inlineStr">
        <is>
          <t>SwiftParcel</t>
        </is>
      </c>
      <c r="D886" s="11" t="inlineStr">
        <is>
          <t>SP2490455</t>
        </is>
      </c>
      <c r="E886" s="12" t="n">
        <v>46273</v>
      </c>
      <c r="F886" s="11" t="inlineStr">
        <is>
          <t>Delivered</t>
        </is>
      </c>
      <c r="G886" s="12" t="n">
        <v>46284</v>
      </c>
      <c r="H886" s="5">
        <f>IF(G886="","",Rules!$B$1-G886)</f>
        <v/>
      </c>
      <c r="I886" s="5">
        <f>IF(F886="Address issue","address issue",IF(OR(F886="Delivered",F886="Returned to sender",G886=""),"",IF(AND(Rules!$B$3&lt;&gt;"",F886="Held at customs",H886&gt;=Rules!$B$3),"customs &gt;= "&amp;Rules!$B$3&amp;" days",IF(H886&gt;=Rules!$B$2,"idle &gt;= "&amp;Rules!$B$2&amp;" days",""))))</f>
        <v/>
      </c>
      <c r="J886" s="5">
        <f>IF(I886="","",IF(F886="Address issue",0,COUNTIF($I$2:$I$1001,"address issue"))+COUNTIFS($I$2:$I$1001,"?*",$F$2:$F$1001,IF(F886="Address issue","Address issue","&lt;&gt;Address issue"),$H$2:$H$1001,"&gt;"&amp;H886)+1)</f>
        <v/>
      </c>
    </row>
    <row r="887">
      <c r="A887" s="11" t="n">
        <v>100886</v>
      </c>
      <c r="B887" s="11" t="inlineStr">
        <is>
          <t>Бразилія</t>
        </is>
      </c>
      <c r="C887" s="11" t="inlineStr">
        <is>
          <t>AndesCargo</t>
        </is>
      </c>
      <c r="D887" s="11" t="inlineStr">
        <is>
          <t>AC56399860</t>
        </is>
      </c>
      <c r="E887" s="12" t="n">
        <v>46297</v>
      </c>
      <c r="F887" s="11" t="inlineStr">
        <is>
          <t>Delivered</t>
        </is>
      </c>
      <c r="G887" s="13" t="n">
        <v>46306</v>
      </c>
      <c r="H887" s="5">
        <f>IF(G887="","",Rules!$B$1-G887)</f>
        <v/>
      </c>
      <c r="I887" s="5">
        <f>IF(F887="Address issue","address issue",IF(OR(F887="Delivered",F887="Returned to sender",G887=""),"",IF(AND(Rules!$B$3&lt;&gt;"",F887="Held at customs",H887&gt;=Rules!$B$3),"customs &gt;= "&amp;Rules!$B$3&amp;" days",IF(H887&gt;=Rules!$B$2,"idle &gt;= "&amp;Rules!$B$2&amp;" days",""))))</f>
        <v/>
      </c>
      <c r="J887" s="5">
        <f>IF(I887="","",IF(F887="Address issue",0,COUNTIF($I$2:$I$1001,"address issue"))+COUNTIFS($I$2:$I$1001,"?*",$F$2:$F$1001,IF(F887="Address issue","Address issue","&lt;&gt;Address issue"),$H$2:$H$1001,"&gt;"&amp;H887)+1)</f>
        <v/>
      </c>
    </row>
    <row r="888">
      <c r="A888" s="11" t="n">
        <v>100887</v>
      </c>
      <c r="B888" s="11" t="inlineStr">
        <is>
          <t>Мексика</t>
        </is>
      </c>
      <c r="C888" s="11" t="inlineStr">
        <is>
          <t>AndesCargo</t>
        </is>
      </c>
      <c r="D888" s="11" t="inlineStr">
        <is>
          <t>AC98154921</t>
        </is>
      </c>
      <c r="E888" s="12" t="n">
        <v>46286</v>
      </c>
      <c r="F888" s="11" t="inlineStr">
        <is>
          <t>Delivered</t>
        </is>
      </c>
      <c r="G888" s="12" t="n">
        <v>46291</v>
      </c>
      <c r="H888" s="5">
        <f>IF(G888="","",Rules!$B$1-G888)</f>
        <v/>
      </c>
      <c r="I888" s="5">
        <f>IF(F888="Address issue","address issue",IF(OR(F888="Delivered",F888="Returned to sender",G888=""),"",IF(AND(Rules!$B$3&lt;&gt;"",F888="Held at customs",H888&gt;=Rules!$B$3),"customs &gt;= "&amp;Rules!$B$3&amp;" days",IF(H888&gt;=Rules!$B$2,"idle &gt;= "&amp;Rules!$B$2&amp;" days",""))))</f>
        <v/>
      </c>
      <c r="J888" s="5">
        <f>IF(I888="","",IF(F888="Address issue",0,COUNTIF($I$2:$I$1001,"address issue"))+COUNTIFS($I$2:$I$1001,"?*",$F$2:$F$1001,IF(F888="Address issue","Address issue","&lt;&gt;Address issue"),$H$2:$H$1001,"&gt;"&amp;H888)+1)</f>
        <v/>
      </c>
    </row>
    <row r="889">
      <c r="A889" s="11" t="n">
        <v>100888</v>
      </c>
      <c r="B889" s="11" t="inlineStr">
        <is>
          <t>Мексика</t>
        </is>
      </c>
      <c r="C889" s="11" t="inlineStr">
        <is>
          <t>AndesCargo</t>
        </is>
      </c>
      <c r="D889" s="11" t="inlineStr">
        <is>
          <t>AC40975611</t>
        </is>
      </c>
      <c r="E889" s="12" t="n">
        <v>46294</v>
      </c>
      <c r="F889" s="11" t="inlineStr">
        <is>
          <t>Label created</t>
        </is>
      </c>
      <c r="G889" s="12" t="n">
        <v>46294</v>
      </c>
      <c r="H889" s="5">
        <f>IF(G889="","",Rules!$B$1-G889)</f>
        <v/>
      </c>
      <c r="I889" s="5">
        <f>IF(F889="Address issue","address issue",IF(OR(F889="Delivered",F889="Returned to sender",G889=""),"",IF(AND(Rules!$B$3&lt;&gt;"",F889="Held at customs",H889&gt;=Rules!$B$3),"customs &gt;= "&amp;Rules!$B$3&amp;" days",IF(H889&gt;=Rules!$B$2,"idle &gt;= "&amp;Rules!$B$2&amp;" days",""))))</f>
        <v/>
      </c>
      <c r="J889" s="5">
        <f>IF(I889="","",IF(F889="Address issue",0,COUNTIF($I$2:$I$1001,"address issue"))+COUNTIFS($I$2:$I$1001,"?*",$F$2:$F$1001,IF(F889="Address issue","Address issue","&lt;&gt;Address issue"),$H$2:$H$1001,"&gt;"&amp;H889)+1)</f>
        <v/>
      </c>
    </row>
    <row r="890">
      <c r="A890" s="11" t="n">
        <v>100889</v>
      </c>
      <c r="B890" s="11" t="inlineStr">
        <is>
          <t>Канада</t>
        </is>
      </c>
      <c r="C890" s="11" t="inlineStr">
        <is>
          <t>PostLink</t>
        </is>
      </c>
      <c r="D890" s="11" t="inlineStr">
        <is>
          <t>PL52631677</t>
        </is>
      </c>
      <c r="E890" s="12" t="n">
        <v>46286</v>
      </c>
      <c r="F890" s="11" t="inlineStr">
        <is>
          <t>Delivered</t>
        </is>
      </c>
      <c r="G890" s="12" t="n">
        <v>46295</v>
      </c>
      <c r="H890" s="5">
        <f>IF(G890="","",Rules!$B$1-G890)</f>
        <v/>
      </c>
      <c r="I890" s="5">
        <f>IF(F890="Address issue","address issue",IF(OR(F890="Delivered",F890="Returned to sender",G890=""),"",IF(AND(Rules!$B$3&lt;&gt;"",F890="Held at customs",H890&gt;=Rules!$B$3),"customs &gt;= "&amp;Rules!$B$3&amp;" days",IF(H890&gt;=Rules!$B$2,"idle &gt;= "&amp;Rules!$B$2&amp;" days",""))))</f>
        <v/>
      </c>
      <c r="J890" s="5">
        <f>IF(I890="","",IF(F890="Address issue",0,COUNTIF($I$2:$I$1001,"address issue"))+COUNTIFS($I$2:$I$1001,"?*",$F$2:$F$1001,IF(F890="Address issue","Address issue","&lt;&gt;Address issue"),$H$2:$H$1001,"&gt;"&amp;H890)+1)</f>
        <v/>
      </c>
    </row>
    <row r="891">
      <c r="A891" s="11" t="n">
        <v>100890</v>
      </c>
      <c r="B891" s="11" t="inlineStr">
        <is>
          <t>Бразилія</t>
        </is>
      </c>
      <c r="C891" s="11" t="inlineStr">
        <is>
          <t>SwiftParcel</t>
        </is>
      </c>
      <c r="D891" s="11" t="inlineStr">
        <is>
          <t>SP9865589</t>
        </is>
      </c>
      <c r="E891" s="13" t="n">
        <v>46310</v>
      </c>
      <c r="F891" s="11" t="inlineStr">
        <is>
          <t>Label created</t>
        </is>
      </c>
      <c r="G891" s="13" t="n">
        <v>46310</v>
      </c>
      <c r="H891" s="5">
        <f>IF(G891="","",Rules!$B$1-G891)</f>
        <v/>
      </c>
      <c r="I891" s="5">
        <f>IF(F891="Address issue","address issue",IF(OR(F891="Delivered",F891="Returned to sender",G891=""),"",IF(AND(Rules!$B$3&lt;&gt;"",F891="Held at customs",H891&gt;=Rules!$B$3),"customs &gt;= "&amp;Rules!$B$3&amp;" days",IF(H891&gt;=Rules!$B$2,"idle &gt;= "&amp;Rules!$B$2&amp;" days",""))))</f>
        <v/>
      </c>
      <c r="J891" s="5">
        <f>IF(I891="","",IF(F891="Address issue",0,COUNTIF($I$2:$I$1001,"address issue"))+COUNTIFS($I$2:$I$1001,"?*",$F$2:$F$1001,IF(F891="Address issue","Address issue","&lt;&gt;Address issue"),$H$2:$H$1001,"&gt;"&amp;H891)+1)</f>
        <v/>
      </c>
    </row>
    <row r="892">
      <c r="A892" s="11" t="n">
        <v>100891</v>
      </c>
      <c r="B892" s="11" t="inlineStr">
        <is>
          <t>Канада</t>
        </is>
      </c>
      <c r="C892" s="11" t="inlineStr">
        <is>
          <t>PostLink</t>
        </is>
      </c>
      <c r="D892" s="11" t="inlineStr">
        <is>
          <t>PL13247309</t>
        </is>
      </c>
      <c r="E892" s="12" t="n">
        <v>46300</v>
      </c>
      <c r="F892" s="11" t="inlineStr">
        <is>
          <t>In transit</t>
        </is>
      </c>
      <c r="G892" s="13" t="n">
        <v>46305</v>
      </c>
      <c r="H892" s="5">
        <f>IF(G892="","",Rules!$B$1-G892)</f>
        <v/>
      </c>
      <c r="I892" s="5">
        <f>IF(F892="Address issue","address issue",IF(OR(F892="Delivered",F892="Returned to sender",G892=""),"",IF(AND(Rules!$B$3&lt;&gt;"",F892="Held at customs",H892&gt;=Rules!$B$3),"customs &gt;= "&amp;Rules!$B$3&amp;" days",IF(H892&gt;=Rules!$B$2,"idle &gt;= "&amp;Rules!$B$2&amp;" days",""))))</f>
        <v/>
      </c>
      <c r="J892" s="5">
        <f>IF(I892="","",IF(F892="Address issue",0,COUNTIF($I$2:$I$1001,"address issue"))+COUNTIFS($I$2:$I$1001,"?*",$F$2:$F$1001,IF(F892="Address issue","Address issue","&lt;&gt;Address issue"),$H$2:$H$1001,"&gt;"&amp;H892)+1)</f>
        <v/>
      </c>
    </row>
    <row r="893">
      <c r="A893" s="11" t="n">
        <v>100892</v>
      </c>
      <c r="B893" s="11" t="inlineStr">
        <is>
          <t>Мексика</t>
        </is>
      </c>
      <c r="C893" s="11" t="inlineStr">
        <is>
          <t>SwiftParcel</t>
        </is>
      </c>
      <c r="D893" s="11" t="inlineStr">
        <is>
          <t>SP2666506</t>
        </is>
      </c>
      <c r="E893" s="12" t="n">
        <v>46304</v>
      </c>
      <c r="F893" s="11" t="inlineStr">
        <is>
          <t>In transit</t>
        </is>
      </c>
      <c r="G893" s="13" t="n">
        <v>46309</v>
      </c>
      <c r="H893" s="5">
        <f>IF(G893="","",Rules!$B$1-G893)</f>
        <v/>
      </c>
      <c r="I893" s="5">
        <f>IF(F893="Address issue","address issue",IF(OR(F893="Delivered",F893="Returned to sender",G893=""),"",IF(AND(Rules!$B$3&lt;&gt;"",F893="Held at customs",H893&gt;=Rules!$B$3),"customs &gt;= "&amp;Rules!$B$3&amp;" days",IF(H893&gt;=Rules!$B$2,"idle &gt;= "&amp;Rules!$B$2&amp;" days",""))))</f>
        <v/>
      </c>
      <c r="J893" s="5">
        <f>IF(I893="","",IF(F893="Address issue",0,COUNTIF($I$2:$I$1001,"address issue"))+COUNTIFS($I$2:$I$1001,"?*",$F$2:$F$1001,IF(F893="Address issue","Address issue","&lt;&gt;Address issue"),$H$2:$H$1001,"&gt;"&amp;H893)+1)</f>
        <v/>
      </c>
    </row>
    <row r="894">
      <c r="A894" s="11" t="n">
        <v>100893</v>
      </c>
      <c r="B894" s="11" t="inlineStr">
        <is>
          <t>Бразилія</t>
        </is>
      </c>
      <c r="C894" s="11" t="inlineStr">
        <is>
          <t>SwiftParcel</t>
        </is>
      </c>
      <c r="D894" s="11" t="inlineStr">
        <is>
          <t>SP2369426</t>
        </is>
      </c>
      <c r="E894" s="12" t="n">
        <v>46302</v>
      </c>
      <c r="F894" s="11" t="inlineStr">
        <is>
          <t>In transit</t>
        </is>
      </c>
      <c r="G894" s="13" t="n">
        <v>46310</v>
      </c>
      <c r="H894" s="5">
        <f>IF(G894="","",Rules!$B$1-G894)</f>
        <v/>
      </c>
      <c r="I894" s="5">
        <f>IF(F894="Address issue","address issue",IF(OR(F894="Delivered",F894="Returned to sender",G894=""),"",IF(AND(Rules!$B$3&lt;&gt;"",F894="Held at customs",H894&gt;=Rules!$B$3),"customs &gt;= "&amp;Rules!$B$3&amp;" days",IF(H894&gt;=Rules!$B$2,"idle &gt;= "&amp;Rules!$B$2&amp;" days",""))))</f>
        <v/>
      </c>
      <c r="J894" s="5">
        <f>IF(I894="","",IF(F894="Address issue",0,COUNTIF($I$2:$I$1001,"address issue"))+COUNTIFS($I$2:$I$1001,"?*",$F$2:$F$1001,IF(F894="Address issue","Address issue","&lt;&gt;Address issue"),$H$2:$H$1001,"&gt;"&amp;H894)+1)</f>
        <v/>
      </c>
    </row>
    <row r="895">
      <c r="A895" s="11" t="n">
        <v>100894</v>
      </c>
      <c r="B895" s="11" t="inlineStr">
        <is>
          <t>Бразилія</t>
        </is>
      </c>
      <c r="C895" s="11" t="inlineStr">
        <is>
          <t>AndesCargo</t>
        </is>
      </c>
      <c r="D895" s="11" t="inlineStr">
        <is>
          <t>AC91985903</t>
        </is>
      </c>
      <c r="E895" s="12" t="n">
        <v>46301</v>
      </c>
      <c r="F895" s="11" t="inlineStr">
        <is>
          <t>In transit</t>
        </is>
      </c>
      <c r="G895" s="13" t="n">
        <v>46308</v>
      </c>
      <c r="H895" s="5">
        <f>IF(G895="","",Rules!$B$1-G895)</f>
        <v/>
      </c>
      <c r="I895" s="5">
        <f>IF(F895="Address issue","address issue",IF(OR(F895="Delivered",F895="Returned to sender",G895=""),"",IF(AND(Rules!$B$3&lt;&gt;"",F895="Held at customs",H895&gt;=Rules!$B$3),"customs &gt;= "&amp;Rules!$B$3&amp;" days",IF(H895&gt;=Rules!$B$2,"idle &gt;= "&amp;Rules!$B$2&amp;" days",""))))</f>
        <v/>
      </c>
      <c r="J895" s="5">
        <f>IF(I895="","",IF(F895="Address issue",0,COUNTIF($I$2:$I$1001,"address issue"))+COUNTIFS($I$2:$I$1001,"?*",$F$2:$F$1001,IF(F895="Address issue","Address issue","&lt;&gt;Address issue"),$H$2:$H$1001,"&gt;"&amp;H895)+1)</f>
        <v/>
      </c>
    </row>
    <row r="896">
      <c r="A896" s="11" t="n">
        <v>100895</v>
      </c>
      <c r="B896" s="11" t="inlineStr">
        <is>
          <t>Мексика</t>
        </is>
      </c>
      <c r="C896" s="11" t="inlineStr">
        <is>
          <t>AndesCargo</t>
        </is>
      </c>
      <c r="D896" s="11" t="inlineStr">
        <is>
          <t>AC42423525</t>
        </is>
      </c>
      <c r="E896" s="12" t="n">
        <v>46303</v>
      </c>
      <c r="F896" s="11" t="inlineStr">
        <is>
          <t>Out for delivery</t>
        </is>
      </c>
      <c r="G896" s="13" t="n">
        <v>46308</v>
      </c>
      <c r="H896" s="5">
        <f>IF(G896="","",Rules!$B$1-G896)</f>
        <v/>
      </c>
      <c r="I896" s="5">
        <f>IF(F896="Address issue","address issue",IF(OR(F896="Delivered",F896="Returned to sender",G896=""),"",IF(AND(Rules!$B$3&lt;&gt;"",F896="Held at customs",H896&gt;=Rules!$B$3),"customs &gt;= "&amp;Rules!$B$3&amp;" days",IF(H896&gt;=Rules!$B$2,"idle &gt;= "&amp;Rules!$B$2&amp;" days",""))))</f>
        <v/>
      </c>
      <c r="J896" s="5">
        <f>IF(I896="","",IF(F896="Address issue",0,COUNTIF($I$2:$I$1001,"address issue"))+COUNTIFS($I$2:$I$1001,"?*",$F$2:$F$1001,IF(F896="Address issue","Address issue","&lt;&gt;Address issue"),$H$2:$H$1001,"&gt;"&amp;H896)+1)</f>
        <v/>
      </c>
    </row>
    <row r="897">
      <c r="A897" s="11" t="n">
        <v>100896</v>
      </c>
      <c r="B897" s="11" t="inlineStr">
        <is>
          <t>Мексика</t>
        </is>
      </c>
      <c r="C897" s="11" t="inlineStr">
        <is>
          <t>SwiftParcel</t>
        </is>
      </c>
      <c r="D897" s="11" t="inlineStr">
        <is>
          <t>SP1778548</t>
        </is>
      </c>
      <c r="E897" s="12" t="n">
        <v>46294</v>
      </c>
      <c r="F897" s="11" t="inlineStr">
        <is>
          <t>Delivered</t>
        </is>
      </c>
      <c r="G897" s="12" t="n">
        <v>46303</v>
      </c>
      <c r="H897" s="5">
        <f>IF(G897="","",Rules!$B$1-G897)</f>
        <v/>
      </c>
      <c r="I897" s="5">
        <f>IF(F897="Address issue","address issue",IF(OR(F897="Delivered",F897="Returned to sender",G897=""),"",IF(AND(Rules!$B$3&lt;&gt;"",F897="Held at customs",H897&gt;=Rules!$B$3),"customs &gt;= "&amp;Rules!$B$3&amp;" days",IF(H897&gt;=Rules!$B$2,"idle &gt;= "&amp;Rules!$B$2&amp;" days",""))))</f>
        <v/>
      </c>
      <c r="J897" s="5">
        <f>IF(I897="","",IF(F897="Address issue",0,COUNTIF($I$2:$I$1001,"address issue"))+COUNTIFS($I$2:$I$1001,"?*",$F$2:$F$1001,IF(F897="Address issue","Address issue","&lt;&gt;Address issue"),$H$2:$H$1001,"&gt;"&amp;H897)+1)</f>
        <v/>
      </c>
    </row>
    <row r="898">
      <c r="A898" s="11" t="n">
        <v>100897</v>
      </c>
      <c r="B898" s="11" t="inlineStr">
        <is>
          <t>Мексика</t>
        </is>
      </c>
      <c r="C898" s="11" t="inlineStr">
        <is>
          <t>AndesCargo</t>
        </is>
      </c>
      <c r="D898" s="11" t="inlineStr">
        <is>
          <t>AC37951123</t>
        </is>
      </c>
      <c r="E898" s="13" t="n">
        <v>46307</v>
      </c>
      <c r="F898" s="11" t="inlineStr">
        <is>
          <t>In transit</t>
        </is>
      </c>
      <c r="G898" s="13" t="n">
        <v>46309</v>
      </c>
      <c r="H898" s="5">
        <f>IF(G898="","",Rules!$B$1-G898)</f>
        <v/>
      </c>
      <c r="I898" s="5">
        <f>IF(F898="Address issue","address issue",IF(OR(F898="Delivered",F898="Returned to sender",G898=""),"",IF(AND(Rules!$B$3&lt;&gt;"",F898="Held at customs",H898&gt;=Rules!$B$3),"customs &gt;= "&amp;Rules!$B$3&amp;" days",IF(H898&gt;=Rules!$B$2,"idle &gt;= "&amp;Rules!$B$2&amp;" days",""))))</f>
        <v/>
      </c>
      <c r="J898" s="5">
        <f>IF(I898="","",IF(F898="Address issue",0,COUNTIF($I$2:$I$1001,"address issue"))+COUNTIFS($I$2:$I$1001,"?*",$F$2:$F$1001,IF(F898="Address issue","Address issue","&lt;&gt;Address issue"),$H$2:$H$1001,"&gt;"&amp;H898)+1)</f>
        <v/>
      </c>
    </row>
    <row r="899">
      <c r="A899" s="11" t="n">
        <v>100898</v>
      </c>
      <c r="B899" s="11" t="inlineStr">
        <is>
          <t>Мексика</t>
        </is>
      </c>
      <c r="C899" s="11" t="inlineStr">
        <is>
          <t>AndesCargo</t>
        </is>
      </c>
      <c r="D899" s="11" t="inlineStr">
        <is>
          <t>AC56876071</t>
        </is>
      </c>
      <c r="E899" s="12" t="n">
        <v>46299</v>
      </c>
      <c r="F899" s="11" t="inlineStr">
        <is>
          <t>Address issue</t>
        </is>
      </c>
      <c r="G899" s="13" t="n">
        <v>46305</v>
      </c>
      <c r="H899" s="5">
        <f>IF(G899="","",Rules!$B$1-G899)</f>
        <v/>
      </c>
      <c r="I899" s="5">
        <f>IF(F899="Address issue","address issue",IF(OR(F899="Delivered",F899="Returned to sender",G899=""),"",IF(AND(Rules!$B$3&lt;&gt;"",F899="Held at customs",H899&gt;=Rules!$B$3),"customs &gt;= "&amp;Rules!$B$3&amp;" days",IF(H899&gt;=Rules!$B$2,"idle &gt;= "&amp;Rules!$B$2&amp;" days",""))))</f>
        <v/>
      </c>
      <c r="J899" s="5">
        <f>IF(I899="","",IF(F899="Address issue",0,COUNTIF($I$2:$I$1001,"address issue"))+COUNTIFS($I$2:$I$1001,"?*",$F$2:$F$1001,IF(F899="Address issue","Address issue","&lt;&gt;Address issue"),$H$2:$H$1001,"&gt;"&amp;H899)+1)</f>
        <v/>
      </c>
    </row>
    <row r="900">
      <c r="A900" s="11" t="n">
        <v>100899</v>
      </c>
      <c r="B900" s="11" t="inlineStr">
        <is>
          <t>Канада</t>
        </is>
      </c>
      <c r="C900" s="11" t="inlineStr">
        <is>
          <t>PostLink</t>
        </is>
      </c>
      <c r="D900" s="11" t="inlineStr">
        <is>
          <t>PL61102688</t>
        </is>
      </c>
      <c r="E900" s="12" t="n">
        <v>46295</v>
      </c>
      <c r="F900" s="11" t="inlineStr">
        <is>
          <t>Delivered</t>
        </is>
      </c>
      <c r="G900" s="12" t="n">
        <v>46303</v>
      </c>
      <c r="H900" s="5">
        <f>IF(G900="","",Rules!$B$1-G900)</f>
        <v/>
      </c>
      <c r="I900" s="5">
        <f>IF(F900="Address issue","address issue",IF(OR(F900="Delivered",F900="Returned to sender",G900=""),"",IF(AND(Rules!$B$3&lt;&gt;"",F900="Held at customs",H900&gt;=Rules!$B$3),"customs &gt;= "&amp;Rules!$B$3&amp;" days",IF(H900&gt;=Rules!$B$2,"idle &gt;= "&amp;Rules!$B$2&amp;" days",""))))</f>
        <v/>
      </c>
      <c r="J900" s="5">
        <f>IF(I900="","",IF(F900="Address issue",0,COUNTIF($I$2:$I$1001,"address issue"))+COUNTIFS($I$2:$I$1001,"?*",$F$2:$F$1001,IF(F900="Address issue","Address issue","&lt;&gt;Address issue"),$H$2:$H$1001,"&gt;"&amp;H900)+1)</f>
        <v/>
      </c>
    </row>
    <row r="901">
      <c r="A901" s="11" t="n">
        <v>100900</v>
      </c>
      <c r="B901" s="11" t="inlineStr">
        <is>
          <t>Канада</t>
        </is>
      </c>
      <c r="C901" s="11" t="inlineStr">
        <is>
          <t>PostLink</t>
        </is>
      </c>
      <c r="D901" s="11" t="inlineStr">
        <is>
          <t>PL22401895</t>
        </is>
      </c>
      <c r="E901" s="12" t="n">
        <v>46302</v>
      </c>
      <c r="F901" s="11" t="inlineStr">
        <is>
          <t>Out for delivery</t>
        </is>
      </c>
      <c r="G901" s="13" t="n">
        <v>46308</v>
      </c>
      <c r="H901" s="5">
        <f>IF(G901="","",Rules!$B$1-G901)</f>
        <v/>
      </c>
      <c r="I901" s="5">
        <f>IF(F901="Address issue","address issue",IF(OR(F901="Delivered",F901="Returned to sender",G901=""),"",IF(AND(Rules!$B$3&lt;&gt;"",F901="Held at customs",H901&gt;=Rules!$B$3),"customs &gt;= "&amp;Rules!$B$3&amp;" days",IF(H901&gt;=Rules!$B$2,"idle &gt;= "&amp;Rules!$B$2&amp;" days",""))))</f>
        <v/>
      </c>
      <c r="J901" s="5">
        <f>IF(I901="","",IF(F901="Address issue",0,COUNTIF($I$2:$I$1001,"address issue"))+COUNTIFS($I$2:$I$1001,"?*",$F$2:$F$1001,IF(F901="Address issue","Address issue","&lt;&gt;Address issue"),$H$2:$H$1001,"&gt;"&amp;H901)+1)</f>
        <v/>
      </c>
    </row>
    <row r="902">
      <c r="A902" s="11" t="n">
        <v>100901</v>
      </c>
      <c r="B902" s="11" t="inlineStr">
        <is>
          <t>Мексика</t>
        </is>
      </c>
      <c r="C902" s="11" t="inlineStr">
        <is>
          <t>AndesCargo</t>
        </is>
      </c>
      <c r="D902" s="11" t="inlineStr">
        <is>
          <t>AC19841477</t>
        </is>
      </c>
      <c r="E902" s="12" t="n">
        <v>46299</v>
      </c>
      <c r="F902" s="11" t="inlineStr">
        <is>
          <t>Out for delivery</t>
        </is>
      </c>
      <c r="G902" s="12" t="n">
        <v>46304</v>
      </c>
      <c r="H902" s="5">
        <f>IF(G902="","",Rules!$B$1-G902)</f>
        <v/>
      </c>
      <c r="I902" s="5">
        <f>IF(F902="Address issue","address issue",IF(OR(F902="Delivered",F902="Returned to sender",G902=""),"",IF(AND(Rules!$B$3&lt;&gt;"",F902="Held at customs",H902&gt;=Rules!$B$3),"customs &gt;= "&amp;Rules!$B$3&amp;" days",IF(H902&gt;=Rules!$B$2,"idle &gt;= "&amp;Rules!$B$2&amp;" days",""))))</f>
        <v/>
      </c>
      <c r="J902" s="5">
        <f>IF(I902="","",IF(F902="Address issue",0,COUNTIF($I$2:$I$1001,"address issue"))+COUNTIFS($I$2:$I$1001,"?*",$F$2:$F$1001,IF(F902="Address issue","Address issue","&lt;&gt;Address issue"),$H$2:$H$1001,"&gt;"&amp;H902)+1)</f>
        <v/>
      </c>
    </row>
    <row r="903">
      <c r="A903" s="11" t="n">
        <v>100902</v>
      </c>
      <c r="B903" s="11" t="inlineStr">
        <is>
          <t>Бразилія</t>
        </is>
      </c>
      <c r="C903" s="11" t="inlineStr">
        <is>
          <t>SwiftParcel</t>
        </is>
      </c>
      <c r="D903" s="11" t="inlineStr">
        <is>
          <t>SP9852083</t>
        </is>
      </c>
      <c r="E903" s="12" t="n">
        <v>46291</v>
      </c>
      <c r="F903" s="11" t="inlineStr">
        <is>
          <t>In transit</t>
        </is>
      </c>
      <c r="G903" s="12" t="n">
        <v>46292</v>
      </c>
      <c r="H903" s="5">
        <f>IF(G903="","",Rules!$B$1-G903)</f>
        <v/>
      </c>
      <c r="I903" s="5">
        <f>IF(F903="Address issue","address issue",IF(OR(F903="Delivered",F903="Returned to sender",G903=""),"",IF(AND(Rules!$B$3&lt;&gt;"",F903="Held at customs",H903&gt;=Rules!$B$3),"customs &gt;= "&amp;Rules!$B$3&amp;" days",IF(H903&gt;=Rules!$B$2,"idle &gt;= "&amp;Rules!$B$2&amp;" days",""))))</f>
        <v/>
      </c>
      <c r="J903" s="5">
        <f>IF(I903="","",IF(F903="Address issue",0,COUNTIF($I$2:$I$1001,"address issue"))+COUNTIFS($I$2:$I$1001,"?*",$F$2:$F$1001,IF(F903="Address issue","Address issue","&lt;&gt;Address issue"),$H$2:$H$1001,"&gt;"&amp;H903)+1)</f>
        <v/>
      </c>
    </row>
    <row r="904">
      <c r="A904" s="11" t="n">
        <v>100903</v>
      </c>
      <c r="B904" s="11" t="inlineStr">
        <is>
          <t>Мексика</t>
        </is>
      </c>
      <c r="C904" s="11" t="inlineStr">
        <is>
          <t>AndesCargo</t>
        </is>
      </c>
      <c r="D904" s="11" t="inlineStr">
        <is>
          <t>AC54480457</t>
        </is>
      </c>
      <c r="E904" s="12" t="n">
        <v>46297</v>
      </c>
      <c r="F904" s="11" t="inlineStr">
        <is>
          <t>Address issue</t>
        </is>
      </c>
      <c r="G904" s="13" t="n">
        <v>46305</v>
      </c>
      <c r="H904" s="5">
        <f>IF(G904="","",Rules!$B$1-G904)</f>
        <v/>
      </c>
      <c r="I904" s="5">
        <f>IF(F904="Address issue","address issue",IF(OR(F904="Delivered",F904="Returned to sender",G904=""),"",IF(AND(Rules!$B$3&lt;&gt;"",F904="Held at customs",H904&gt;=Rules!$B$3),"customs &gt;= "&amp;Rules!$B$3&amp;" days",IF(H904&gt;=Rules!$B$2,"idle &gt;= "&amp;Rules!$B$2&amp;" days",""))))</f>
        <v/>
      </c>
      <c r="J904" s="5">
        <f>IF(I904="","",IF(F904="Address issue",0,COUNTIF($I$2:$I$1001,"address issue"))+COUNTIFS($I$2:$I$1001,"?*",$F$2:$F$1001,IF(F904="Address issue","Address issue","&lt;&gt;Address issue"),$H$2:$H$1001,"&gt;"&amp;H904)+1)</f>
        <v/>
      </c>
    </row>
    <row r="905">
      <c r="A905" s="11" t="n">
        <v>100904</v>
      </c>
      <c r="B905" s="11" t="inlineStr">
        <is>
          <t>Канада</t>
        </is>
      </c>
      <c r="C905" s="11" t="inlineStr">
        <is>
          <t>PostLink</t>
        </is>
      </c>
      <c r="D905" s="11" t="inlineStr">
        <is>
          <t>PL23284856</t>
        </is>
      </c>
      <c r="E905" s="12" t="n">
        <v>46301</v>
      </c>
      <c r="F905" s="11" t="inlineStr">
        <is>
          <t>In transit</t>
        </is>
      </c>
      <c r="G905" s="13" t="n">
        <v>46305</v>
      </c>
      <c r="H905" s="5">
        <f>IF(G905="","",Rules!$B$1-G905)</f>
        <v/>
      </c>
      <c r="I905" s="5">
        <f>IF(F905="Address issue","address issue",IF(OR(F905="Delivered",F905="Returned to sender",G905=""),"",IF(AND(Rules!$B$3&lt;&gt;"",F905="Held at customs",H905&gt;=Rules!$B$3),"customs &gt;= "&amp;Rules!$B$3&amp;" days",IF(H905&gt;=Rules!$B$2,"idle &gt;= "&amp;Rules!$B$2&amp;" days",""))))</f>
        <v/>
      </c>
      <c r="J905" s="5">
        <f>IF(I905="","",IF(F905="Address issue",0,COUNTIF($I$2:$I$1001,"address issue"))+COUNTIFS($I$2:$I$1001,"?*",$F$2:$F$1001,IF(F905="Address issue","Address issue","&lt;&gt;Address issue"),$H$2:$H$1001,"&gt;"&amp;H905)+1)</f>
        <v/>
      </c>
    </row>
    <row r="906">
      <c r="A906" s="11" t="n">
        <v>100905</v>
      </c>
      <c r="B906" s="11" t="inlineStr">
        <is>
          <t>Бразилія</t>
        </is>
      </c>
      <c r="C906" s="11" t="inlineStr">
        <is>
          <t>SwiftParcel</t>
        </is>
      </c>
      <c r="D906" s="11" t="inlineStr">
        <is>
          <t>SP4094239</t>
        </is>
      </c>
      <c r="E906" s="12" t="n">
        <v>46271</v>
      </c>
      <c r="F906" s="11" t="inlineStr">
        <is>
          <t>Delivered</t>
        </is>
      </c>
      <c r="G906" s="12" t="n">
        <v>46283</v>
      </c>
      <c r="H906" s="5">
        <f>IF(G906="","",Rules!$B$1-G906)</f>
        <v/>
      </c>
      <c r="I906" s="5">
        <f>IF(F906="Address issue","address issue",IF(OR(F906="Delivered",F906="Returned to sender",G906=""),"",IF(AND(Rules!$B$3&lt;&gt;"",F906="Held at customs",H906&gt;=Rules!$B$3),"customs &gt;= "&amp;Rules!$B$3&amp;" days",IF(H906&gt;=Rules!$B$2,"idle &gt;= "&amp;Rules!$B$2&amp;" days",""))))</f>
        <v/>
      </c>
      <c r="J906" s="5">
        <f>IF(I906="","",IF(F906="Address issue",0,COUNTIF($I$2:$I$1001,"address issue"))+COUNTIFS($I$2:$I$1001,"?*",$F$2:$F$1001,IF(F906="Address issue","Address issue","&lt;&gt;Address issue"),$H$2:$H$1001,"&gt;"&amp;H906)+1)</f>
        <v/>
      </c>
    </row>
    <row r="907">
      <c r="A907" s="11" t="n">
        <v>100906</v>
      </c>
      <c r="B907" s="11" t="inlineStr">
        <is>
          <t>Бразилія</t>
        </is>
      </c>
      <c r="C907" s="11" t="inlineStr">
        <is>
          <t>AndesCargo</t>
        </is>
      </c>
      <c r="D907" s="11" t="inlineStr">
        <is>
          <t>AC34497823</t>
        </is>
      </c>
      <c r="E907" s="12" t="n">
        <v>46281</v>
      </c>
      <c r="F907" s="11" t="inlineStr">
        <is>
          <t>Delivered</t>
        </is>
      </c>
      <c r="G907" s="12" t="n">
        <v>46284</v>
      </c>
      <c r="H907" s="5">
        <f>IF(G907="","",Rules!$B$1-G907)</f>
        <v/>
      </c>
      <c r="I907" s="5">
        <f>IF(F907="Address issue","address issue",IF(OR(F907="Delivered",F907="Returned to sender",G907=""),"",IF(AND(Rules!$B$3&lt;&gt;"",F907="Held at customs",H907&gt;=Rules!$B$3),"customs &gt;= "&amp;Rules!$B$3&amp;" days",IF(H907&gt;=Rules!$B$2,"idle &gt;= "&amp;Rules!$B$2&amp;" days",""))))</f>
        <v/>
      </c>
      <c r="J907" s="5">
        <f>IF(I907="","",IF(F907="Address issue",0,COUNTIF($I$2:$I$1001,"address issue"))+COUNTIFS($I$2:$I$1001,"?*",$F$2:$F$1001,IF(F907="Address issue","Address issue","&lt;&gt;Address issue"),$H$2:$H$1001,"&gt;"&amp;H907)+1)</f>
        <v/>
      </c>
    </row>
    <row r="908">
      <c r="A908" s="11" t="n">
        <v>100907</v>
      </c>
      <c r="B908" s="11" t="inlineStr">
        <is>
          <t>Бразилія</t>
        </is>
      </c>
      <c r="C908" s="11" t="inlineStr">
        <is>
          <t>SwiftParcel</t>
        </is>
      </c>
      <c r="D908" s="11" t="inlineStr">
        <is>
          <t>SP7858386</t>
        </is>
      </c>
      <c r="E908" s="12" t="n">
        <v>46278</v>
      </c>
      <c r="F908" s="11" t="inlineStr">
        <is>
          <t>Delivered</t>
        </is>
      </c>
      <c r="G908" s="12" t="n">
        <v>46289</v>
      </c>
      <c r="H908" s="5">
        <f>IF(G908="","",Rules!$B$1-G908)</f>
        <v/>
      </c>
      <c r="I908" s="5">
        <f>IF(F908="Address issue","address issue",IF(OR(F908="Delivered",F908="Returned to sender",G908=""),"",IF(AND(Rules!$B$3&lt;&gt;"",F908="Held at customs",H908&gt;=Rules!$B$3),"customs &gt;= "&amp;Rules!$B$3&amp;" days",IF(H908&gt;=Rules!$B$2,"idle &gt;= "&amp;Rules!$B$2&amp;" days",""))))</f>
        <v/>
      </c>
      <c r="J908" s="5">
        <f>IF(I908="","",IF(F908="Address issue",0,COUNTIF($I$2:$I$1001,"address issue"))+COUNTIFS($I$2:$I$1001,"?*",$F$2:$F$1001,IF(F908="Address issue","Address issue","&lt;&gt;Address issue"),$H$2:$H$1001,"&gt;"&amp;H908)+1)</f>
        <v/>
      </c>
    </row>
    <row r="909">
      <c r="A909" s="11" t="n">
        <v>100908</v>
      </c>
      <c r="B909" s="11" t="inlineStr">
        <is>
          <t>Канада</t>
        </is>
      </c>
      <c r="C909" s="11" t="inlineStr">
        <is>
          <t>PostLink</t>
        </is>
      </c>
      <c r="D909" s="11" t="inlineStr">
        <is>
          <t>PL23897695</t>
        </is>
      </c>
      <c r="E909" s="13" t="n">
        <v>46305</v>
      </c>
      <c r="F909" s="11" t="inlineStr">
        <is>
          <t>Delivered</t>
        </is>
      </c>
      <c r="G909" s="13" t="n">
        <v>46308</v>
      </c>
      <c r="H909" s="5">
        <f>IF(G909="","",Rules!$B$1-G909)</f>
        <v/>
      </c>
      <c r="I909" s="5">
        <f>IF(F909="Address issue","address issue",IF(OR(F909="Delivered",F909="Returned to sender",G909=""),"",IF(AND(Rules!$B$3&lt;&gt;"",F909="Held at customs",H909&gt;=Rules!$B$3),"customs &gt;= "&amp;Rules!$B$3&amp;" days",IF(H909&gt;=Rules!$B$2,"idle &gt;= "&amp;Rules!$B$2&amp;" days",""))))</f>
        <v/>
      </c>
      <c r="J909" s="5">
        <f>IF(I909="","",IF(F909="Address issue",0,COUNTIF($I$2:$I$1001,"address issue"))+COUNTIFS($I$2:$I$1001,"?*",$F$2:$F$1001,IF(F909="Address issue","Address issue","&lt;&gt;Address issue"),$H$2:$H$1001,"&gt;"&amp;H909)+1)</f>
        <v/>
      </c>
    </row>
    <row r="910">
      <c r="A910" s="11" t="n">
        <v>100909</v>
      </c>
      <c r="B910" s="11" t="inlineStr">
        <is>
          <t>Бразилія</t>
        </is>
      </c>
      <c r="C910" s="11" t="inlineStr">
        <is>
          <t>SwiftParcel</t>
        </is>
      </c>
      <c r="D910" s="11" t="inlineStr">
        <is>
          <t>SP4355940</t>
        </is>
      </c>
      <c r="E910" s="12" t="n">
        <v>46302</v>
      </c>
      <c r="F910" s="11" t="inlineStr">
        <is>
          <t>In transit</t>
        </is>
      </c>
      <c r="G910" s="13" t="n">
        <v>46309</v>
      </c>
      <c r="H910" s="5">
        <f>IF(G910="","",Rules!$B$1-G910)</f>
        <v/>
      </c>
      <c r="I910" s="5">
        <f>IF(F910="Address issue","address issue",IF(OR(F910="Delivered",F910="Returned to sender",G910=""),"",IF(AND(Rules!$B$3&lt;&gt;"",F910="Held at customs",H910&gt;=Rules!$B$3),"customs &gt;= "&amp;Rules!$B$3&amp;" days",IF(H910&gt;=Rules!$B$2,"idle &gt;= "&amp;Rules!$B$2&amp;" days",""))))</f>
        <v/>
      </c>
      <c r="J910" s="5">
        <f>IF(I910="","",IF(F910="Address issue",0,COUNTIF($I$2:$I$1001,"address issue"))+COUNTIFS($I$2:$I$1001,"?*",$F$2:$F$1001,IF(F910="Address issue","Address issue","&lt;&gt;Address issue"),$H$2:$H$1001,"&gt;"&amp;H910)+1)</f>
        <v/>
      </c>
    </row>
    <row r="911">
      <c r="A911" s="11" t="n">
        <v>100910</v>
      </c>
      <c r="B911" s="11" t="inlineStr">
        <is>
          <t>Канада</t>
        </is>
      </c>
      <c r="C911" s="11" t="inlineStr">
        <is>
          <t>PostLink</t>
        </is>
      </c>
      <c r="D911" s="11" t="inlineStr">
        <is>
          <t>PL48623204</t>
        </is>
      </c>
      <c r="E911" s="12" t="n">
        <v>46287</v>
      </c>
      <c r="F911" s="11" t="inlineStr">
        <is>
          <t>Delivered</t>
        </is>
      </c>
      <c r="G911" s="12" t="n">
        <v>46298</v>
      </c>
      <c r="H911" s="5">
        <f>IF(G911="","",Rules!$B$1-G911)</f>
        <v/>
      </c>
      <c r="I911" s="5">
        <f>IF(F911="Address issue","address issue",IF(OR(F911="Delivered",F911="Returned to sender",G911=""),"",IF(AND(Rules!$B$3&lt;&gt;"",F911="Held at customs",H911&gt;=Rules!$B$3),"customs &gt;= "&amp;Rules!$B$3&amp;" days",IF(H911&gt;=Rules!$B$2,"idle &gt;= "&amp;Rules!$B$2&amp;" days",""))))</f>
        <v/>
      </c>
      <c r="J911" s="5">
        <f>IF(I911="","",IF(F911="Address issue",0,COUNTIF($I$2:$I$1001,"address issue"))+COUNTIFS($I$2:$I$1001,"?*",$F$2:$F$1001,IF(F911="Address issue","Address issue","&lt;&gt;Address issue"),$H$2:$H$1001,"&gt;"&amp;H911)+1)</f>
        <v/>
      </c>
    </row>
    <row r="912">
      <c r="A912" s="11" t="n">
        <v>100911</v>
      </c>
      <c r="B912" s="11" t="inlineStr">
        <is>
          <t>Бразилія</t>
        </is>
      </c>
      <c r="C912" s="11" t="inlineStr">
        <is>
          <t>SwiftParcel</t>
        </is>
      </c>
      <c r="D912" s="11" t="inlineStr">
        <is>
          <t>SP7928163</t>
        </is>
      </c>
      <c r="E912" s="12" t="n">
        <v>46302</v>
      </c>
      <c r="F912" s="11" t="inlineStr">
        <is>
          <t>In transit</t>
        </is>
      </c>
      <c r="G912" s="12" t="n">
        <v>46304</v>
      </c>
      <c r="H912" s="5">
        <f>IF(G912="","",Rules!$B$1-G912)</f>
        <v/>
      </c>
      <c r="I912" s="5">
        <f>IF(F912="Address issue","address issue",IF(OR(F912="Delivered",F912="Returned to sender",G912=""),"",IF(AND(Rules!$B$3&lt;&gt;"",F912="Held at customs",H912&gt;=Rules!$B$3),"customs &gt;= "&amp;Rules!$B$3&amp;" days",IF(H912&gt;=Rules!$B$2,"idle &gt;= "&amp;Rules!$B$2&amp;" days",""))))</f>
        <v/>
      </c>
      <c r="J912" s="5">
        <f>IF(I912="","",IF(F912="Address issue",0,COUNTIF($I$2:$I$1001,"address issue"))+COUNTIFS($I$2:$I$1001,"?*",$F$2:$F$1001,IF(F912="Address issue","Address issue","&lt;&gt;Address issue"),$H$2:$H$1001,"&gt;"&amp;H912)+1)</f>
        <v/>
      </c>
    </row>
    <row r="913">
      <c r="A913" s="11" t="n">
        <v>100912</v>
      </c>
      <c r="B913" s="11" t="inlineStr">
        <is>
          <t>Мексика</t>
        </is>
      </c>
      <c r="C913" s="11" t="inlineStr">
        <is>
          <t>AndesCargo</t>
        </is>
      </c>
      <c r="D913" s="11" t="inlineStr">
        <is>
          <t>AC58196394</t>
        </is>
      </c>
      <c r="E913" s="12" t="n">
        <v>46296</v>
      </c>
      <c r="F913" s="11" t="inlineStr">
        <is>
          <t>Delivered</t>
        </is>
      </c>
      <c r="G913" s="13" t="n">
        <v>46307</v>
      </c>
      <c r="H913" s="5">
        <f>IF(G913="","",Rules!$B$1-G913)</f>
        <v/>
      </c>
      <c r="I913" s="5">
        <f>IF(F913="Address issue","address issue",IF(OR(F913="Delivered",F913="Returned to sender",G913=""),"",IF(AND(Rules!$B$3&lt;&gt;"",F913="Held at customs",H913&gt;=Rules!$B$3),"customs &gt;= "&amp;Rules!$B$3&amp;" days",IF(H913&gt;=Rules!$B$2,"idle &gt;= "&amp;Rules!$B$2&amp;" days",""))))</f>
        <v/>
      </c>
      <c r="J913" s="5">
        <f>IF(I913="","",IF(F913="Address issue",0,COUNTIF($I$2:$I$1001,"address issue"))+COUNTIFS($I$2:$I$1001,"?*",$F$2:$F$1001,IF(F913="Address issue","Address issue","&lt;&gt;Address issue"),$H$2:$H$1001,"&gt;"&amp;H913)+1)</f>
        <v/>
      </c>
    </row>
    <row r="914">
      <c r="A914" s="11" t="n">
        <v>100913</v>
      </c>
      <c r="B914" s="11" t="inlineStr">
        <is>
          <t>Мексика</t>
        </is>
      </c>
      <c r="C914" s="11" t="inlineStr">
        <is>
          <t>AndesCargo</t>
        </is>
      </c>
      <c r="D914" s="11" t="inlineStr">
        <is>
          <t>AC20968417</t>
        </is>
      </c>
      <c r="E914" s="13" t="n">
        <v>46309</v>
      </c>
      <c r="F914" s="11" t="inlineStr">
        <is>
          <t>In transit</t>
        </is>
      </c>
      <c r="G914" s="13" t="n">
        <v>46310</v>
      </c>
      <c r="H914" s="5">
        <f>IF(G914="","",Rules!$B$1-G914)</f>
        <v/>
      </c>
      <c r="I914" s="5">
        <f>IF(F914="Address issue","address issue",IF(OR(F914="Delivered",F914="Returned to sender",G914=""),"",IF(AND(Rules!$B$3&lt;&gt;"",F914="Held at customs",H914&gt;=Rules!$B$3),"customs &gt;= "&amp;Rules!$B$3&amp;" days",IF(H914&gt;=Rules!$B$2,"idle &gt;= "&amp;Rules!$B$2&amp;" days",""))))</f>
        <v/>
      </c>
      <c r="J914" s="5">
        <f>IF(I914="","",IF(F914="Address issue",0,COUNTIF($I$2:$I$1001,"address issue"))+COUNTIFS($I$2:$I$1001,"?*",$F$2:$F$1001,IF(F914="Address issue","Address issue","&lt;&gt;Address issue"),$H$2:$H$1001,"&gt;"&amp;H914)+1)</f>
        <v/>
      </c>
    </row>
    <row r="915">
      <c r="A915" s="11" t="n">
        <v>100914</v>
      </c>
      <c r="B915" s="11" t="inlineStr">
        <is>
          <t>Мексика</t>
        </is>
      </c>
      <c r="C915" s="11" t="inlineStr">
        <is>
          <t>AndesCargo</t>
        </is>
      </c>
      <c r="D915" s="11" t="inlineStr">
        <is>
          <t>AC14435191</t>
        </is>
      </c>
      <c r="E915" s="12" t="n">
        <v>46304</v>
      </c>
      <c r="F915" s="11" t="inlineStr">
        <is>
          <t>Held at customs</t>
        </is>
      </c>
      <c r="G915" s="13" t="n">
        <v>46308</v>
      </c>
      <c r="H915" s="5">
        <f>IF(G915="","",Rules!$B$1-G915)</f>
        <v/>
      </c>
      <c r="I915" s="5">
        <f>IF(F915="Address issue","address issue",IF(OR(F915="Delivered",F915="Returned to sender",G915=""),"",IF(AND(Rules!$B$3&lt;&gt;"",F915="Held at customs",H915&gt;=Rules!$B$3),"customs &gt;= "&amp;Rules!$B$3&amp;" days",IF(H915&gt;=Rules!$B$2,"idle &gt;= "&amp;Rules!$B$2&amp;" days",""))))</f>
        <v/>
      </c>
      <c r="J915" s="5">
        <f>IF(I915="","",IF(F915="Address issue",0,COUNTIF($I$2:$I$1001,"address issue"))+COUNTIFS($I$2:$I$1001,"?*",$F$2:$F$1001,IF(F915="Address issue","Address issue","&lt;&gt;Address issue"),$H$2:$H$1001,"&gt;"&amp;H915)+1)</f>
        <v/>
      </c>
    </row>
    <row r="916">
      <c r="A916" s="11" t="n">
        <v>100915</v>
      </c>
      <c r="B916" s="11" t="inlineStr">
        <is>
          <t>Бразилія</t>
        </is>
      </c>
      <c r="C916" s="11" t="inlineStr">
        <is>
          <t>SwiftParcel</t>
        </is>
      </c>
      <c r="D916" s="11" t="inlineStr">
        <is>
          <t>SP1838344</t>
        </is>
      </c>
      <c r="E916" s="12" t="n">
        <v>46291</v>
      </c>
      <c r="F916" s="11" t="inlineStr">
        <is>
          <t>Delivered</t>
        </is>
      </c>
      <c r="G916" s="12" t="n">
        <v>46295</v>
      </c>
      <c r="H916" s="5">
        <f>IF(G916="","",Rules!$B$1-G916)</f>
        <v/>
      </c>
      <c r="I916" s="5">
        <f>IF(F916="Address issue","address issue",IF(OR(F916="Delivered",F916="Returned to sender",G916=""),"",IF(AND(Rules!$B$3&lt;&gt;"",F916="Held at customs",H916&gt;=Rules!$B$3),"customs &gt;= "&amp;Rules!$B$3&amp;" days",IF(H916&gt;=Rules!$B$2,"idle &gt;= "&amp;Rules!$B$2&amp;" days",""))))</f>
        <v/>
      </c>
      <c r="J916" s="5">
        <f>IF(I916="","",IF(F916="Address issue",0,COUNTIF($I$2:$I$1001,"address issue"))+COUNTIFS($I$2:$I$1001,"?*",$F$2:$F$1001,IF(F916="Address issue","Address issue","&lt;&gt;Address issue"),$H$2:$H$1001,"&gt;"&amp;H916)+1)</f>
        <v/>
      </c>
    </row>
    <row r="917">
      <c r="A917" s="11" t="n">
        <v>100916</v>
      </c>
      <c r="B917" s="11" t="inlineStr">
        <is>
          <t>Канада</t>
        </is>
      </c>
      <c r="C917" s="11" t="inlineStr">
        <is>
          <t>PostLink</t>
        </is>
      </c>
      <c r="D917" s="11" t="inlineStr">
        <is>
          <t>PL74325253</t>
        </is>
      </c>
      <c r="E917" s="12" t="n">
        <v>46286</v>
      </c>
      <c r="F917" s="11" t="inlineStr">
        <is>
          <t>Delivered</t>
        </is>
      </c>
      <c r="G917" s="12" t="n">
        <v>46295</v>
      </c>
      <c r="H917" s="5">
        <f>IF(G917="","",Rules!$B$1-G917)</f>
        <v/>
      </c>
      <c r="I917" s="5">
        <f>IF(F917="Address issue","address issue",IF(OR(F917="Delivered",F917="Returned to sender",G917=""),"",IF(AND(Rules!$B$3&lt;&gt;"",F917="Held at customs",H917&gt;=Rules!$B$3),"customs &gt;= "&amp;Rules!$B$3&amp;" days",IF(H917&gt;=Rules!$B$2,"idle &gt;= "&amp;Rules!$B$2&amp;" days",""))))</f>
        <v/>
      </c>
      <c r="J917" s="5">
        <f>IF(I917="","",IF(F917="Address issue",0,COUNTIF($I$2:$I$1001,"address issue"))+COUNTIFS($I$2:$I$1001,"?*",$F$2:$F$1001,IF(F917="Address issue","Address issue","&lt;&gt;Address issue"),$H$2:$H$1001,"&gt;"&amp;H917)+1)</f>
        <v/>
      </c>
    </row>
    <row r="918">
      <c r="A918" s="11" t="n">
        <v>100917</v>
      </c>
      <c r="B918" s="11" t="inlineStr">
        <is>
          <t>Бразилія</t>
        </is>
      </c>
      <c r="C918" s="11" t="inlineStr">
        <is>
          <t>SwiftParcel</t>
        </is>
      </c>
      <c r="D918" s="11" t="inlineStr">
        <is>
          <t>SP9959123</t>
        </is>
      </c>
      <c r="E918" s="13" t="n">
        <v>46308</v>
      </c>
      <c r="F918" s="11" t="inlineStr">
        <is>
          <t>In transit</t>
        </is>
      </c>
      <c r="G918" s="13" t="n">
        <v>46310</v>
      </c>
      <c r="H918" s="5">
        <f>IF(G918="","",Rules!$B$1-G918)</f>
        <v/>
      </c>
      <c r="I918" s="5">
        <f>IF(F918="Address issue","address issue",IF(OR(F918="Delivered",F918="Returned to sender",G918=""),"",IF(AND(Rules!$B$3&lt;&gt;"",F918="Held at customs",H918&gt;=Rules!$B$3),"customs &gt;= "&amp;Rules!$B$3&amp;" days",IF(H918&gt;=Rules!$B$2,"idle &gt;= "&amp;Rules!$B$2&amp;" days",""))))</f>
        <v/>
      </c>
      <c r="J918" s="5">
        <f>IF(I918="","",IF(F918="Address issue",0,COUNTIF($I$2:$I$1001,"address issue"))+COUNTIFS($I$2:$I$1001,"?*",$F$2:$F$1001,IF(F918="Address issue","Address issue","&lt;&gt;Address issue"),$H$2:$H$1001,"&gt;"&amp;H918)+1)</f>
        <v/>
      </c>
    </row>
    <row r="919">
      <c r="A919" s="11" t="n">
        <v>100918</v>
      </c>
      <c r="B919" s="11" t="inlineStr">
        <is>
          <t>Канада</t>
        </is>
      </c>
      <c r="C919" s="11" t="inlineStr">
        <is>
          <t>PostLink</t>
        </is>
      </c>
      <c r="D919" s="11" t="inlineStr">
        <is>
          <t>PL12928094</t>
        </is>
      </c>
      <c r="E919" s="13" t="n">
        <v>46306</v>
      </c>
      <c r="F919" s="11" t="inlineStr">
        <is>
          <t>In transit</t>
        </is>
      </c>
      <c r="G919" s="13" t="n">
        <v>46309</v>
      </c>
      <c r="H919" s="5">
        <f>IF(G919="","",Rules!$B$1-G919)</f>
        <v/>
      </c>
      <c r="I919" s="5">
        <f>IF(F919="Address issue","address issue",IF(OR(F919="Delivered",F919="Returned to sender",G919=""),"",IF(AND(Rules!$B$3&lt;&gt;"",F919="Held at customs",H919&gt;=Rules!$B$3),"customs &gt;= "&amp;Rules!$B$3&amp;" days",IF(H919&gt;=Rules!$B$2,"idle &gt;= "&amp;Rules!$B$2&amp;" days",""))))</f>
        <v/>
      </c>
      <c r="J919" s="5">
        <f>IF(I919="","",IF(F919="Address issue",0,COUNTIF($I$2:$I$1001,"address issue"))+COUNTIFS($I$2:$I$1001,"?*",$F$2:$F$1001,IF(F919="Address issue","Address issue","&lt;&gt;Address issue"),$H$2:$H$1001,"&gt;"&amp;H919)+1)</f>
        <v/>
      </c>
    </row>
    <row r="920">
      <c r="A920" s="11" t="n">
        <v>100919</v>
      </c>
      <c r="B920" s="11" t="inlineStr">
        <is>
          <t>Мексика</t>
        </is>
      </c>
      <c r="C920" s="11" t="inlineStr">
        <is>
          <t>SwiftParcel</t>
        </is>
      </c>
      <c r="D920" s="11" t="inlineStr">
        <is>
          <t>SP6594900</t>
        </is>
      </c>
      <c r="E920" s="13" t="n">
        <v>46307</v>
      </c>
      <c r="F920" s="11" t="inlineStr">
        <is>
          <t>Address issue</t>
        </is>
      </c>
      <c r="G920" s="13" t="n">
        <v>46310</v>
      </c>
      <c r="H920" s="5">
        <f>IF(G920="","",Rules!$B$1-G920)</f>
        <v/>
      </c>
      <c r="I920" s="5">
        <f>IF(F920="Address issue","address issue",IF(OR(F920="Delivered",F920="Returned to sender",G920=""),"",IF(AND(Rules!$B$3&lt;&gt;"",F920="Held at customs",H920&gt;=Rules!$B$3),"customs &gt;= "&amp;Rules!$B$3&amp;" days",IF(H920&gt;=Rules!$B$2,"idle &gt;= "&amp;Rules!$B$2&amp;" days",""))))</f>
        <v/>
      </c>
      <c r="J920" s="5">
        <f>IF(I920="","",IF(F920="Address issue",0,COUNTIF($I$2:$I$1001,"address issue"))+COUNTIFS($I$2:$I$1001,"?*",$F$2:$F$1001,IF(F920="Address issue","Address issue","&lt;&gt;Address issue"),$H$2:$H$1001,"&gt;"&amp;H920)+1)</f>
        <v/>
      </c>
    </row>
    <row r="921">
      <c r="A921" s="11" t="n">
        <v>100920</v>
      </c>
      <c r="B921" s="11" t="inlineStr">
        <is>
          <t>Бразилія</t>
        </is>
      </c>
      <c r="C921" s="11" t="inlineStr">
        <is>
          <t>SwiftParcel</t>
        </is>
      </c>
      <c r="D921" s="11" t="inlineStr">
        <is>
          <t>SP6168081</t>
        </is>
      </c>
      <c r="E921" s="12" t="n">
        <v>46298</v>
      </c>
      <c r="F921" s="11" t="inlineStr">
        <is>
          <t>In transit</t>
        </is>
      </c>
      <c r="G921" s="13" t="n">
        <v>46306</v>
      </c>
      <c r="H921" s="5">
        <f>IF(G921="","",Rules!$B$1-G921)</f>
        <v/>
      </c>
      <c r="I921" s="5">
        <f>IF(F921="Address issue","address issue",IF(OR(F921="Delivered",F921="Returned to sender",G921=""),"",IF(AND(Rules!$B$3&lt;&gt;"",F921="Held at customs",H921&gt;=Rules!$B$3),"customs &gt;= "&amp;Rules!$B$3&amp;" days",IF(H921&gt;=Rules!$B$2,"idle &gt;= "&amp;Rules!$B$2&amp;" days",""))))</f>
        <v/>
      </c>
      <c r="J921" s="5">
        <f>IF(I921="","",IF(F921="Address issue",0,COUNTIF($I$2:$I$1001,"address issue"))+COUNTIFS($I$2:$I$1001,"?*",$F$2:$F$1001,IF(F921="Address issue","Address issue","&lt;&gt;Address issue"),$H$2:$H$1001,"&gt;"&amp;H921)+1)</f>
        <v/>
      </c>
    </row>
    <row r="922">
      <c r="A922" s="11" t="n">
        <v>100921</v>
      </c>
      <c r="B922" s="11" t="inlineStr">
        <is>
          <t>Канада</t>
        </is>
      </c>
      <c r="C922" s="11" t="inlineStr">
        <is>
          <t>PostLink</t>
        </is>
      </c>
      <c r="D922" s="11" t="inlineStr">
        <is>
          <t>PL18597790</t>
        </is>
      </c>
      <c r="E922" s="12" t="n">
        <v>46295</v>
      </c>
      <c r="F922" s="11" t="inlineStr">
        <is>
          <t>Label created</t>
        </is>
      </c>
      <c r="G922" s="12" t="n">
        <v>46295</v>
      </c>
      <c r="H922" s="5">
        <f>IF(G922="","",Rules!$B$1-G922)</f>
        <v/>
      </c>
      <c r="I922" s="5">
        <f>IF(F922="Address issue","address issue",IF(OR(F922="Delivered",F922="Returned to sender",G922=""),"",IF(AND(Rules!$B$3&lt;&gt;"",F922="Held at customs",H922&gt;=Rules!$B$3),"customs &gt;= "&amp;Rules!$B$3&amp;" days",IF(H922&gt;=Rules!$B$2,"idle &gt;= "&amp;Rules!$B$2&amp;" days",""))))</f>
        <v/>
      </c>
      <c r="J922" s="5">
        <f>IF(I922="","",IF(F922="Address issue",0,COUNTIF($I$2:$I$1001,"address issue"))+COUNTIFS($I$2:$I$1001,"?*",$F$2:$F$1001,IF(F922="Address issue","Address issue","&lt;&gt;Address issue"),$H$2:$H$1001,"&gt;"&amp;H922)+1)</f>
        <v/>
      </c>
    </row>
    <row r="923">
      <c r="A923" s="11" t="n">
        <v>100922</v>
      </c>
      <c r="B923" s="11" t="inlineStr">
        <is>
          <t>Канада</t>
        </is>
      </c>
      <c r="C923" s="11" t="inlineStr">
        <is>
          <t>PostLink</t>
        </is>
      </c>
      <c r="D923" s="11" t="inlineStr">
        <is>
          <t>PL97203178</t>
        </is>
      </c>
      <c r="E923" s="12" t="n">
        <v>46303</v>
      </c>
      <c r="F923" s="11" t="inlineStr">
        <is>
          <t>Out for delivery</t>
        </is>
      </c>
      <c r="G923" s="12" t="n">
        <v>46304</v>
      </c>
      <c r="H923" s="5">
        <f>IF(G923="","",Rules!$B$1-G923)</f>
        <v/>
      </c>
      <c r="I923" s="5">
        <f>IF(F923="Address issue","address issue",IF(OR(F923="Delivered",F923="Returned to sender",G923=""),"",IF(AND(Rules!$B$3&lt;&gt;"",F923="Held at customs",H923&gt;=Rules!$B$3),"customs &gt;= "&amp;Rules!$B$3&amp;" days",IF(H923&gt;=Rules!$B$2,"idle &gt;= "&amp;Rules!$B$2&amp;" days",""))))</f>
        <v/>
      </c>
      <c r="J923" s="5">
        <f>IF(I923="","",IF(F923="Address issue",0,COUNTIF($I$2:$I$1001,"address issue"))+COUNTIFS($I$2:$I$1001,"?*",$F$2:$F$1001,IF(F923="Address issue","Address issue","&lt;&gt;Address issue"),$H$2:$H$1001,"&gt;"&amp;H923)+1)</f>
        <v/>
      </c>
    </row>
    <row r="924">
      <c r="A924" s="11" t="n">
        <v>100923</v>
      </c>
      <c r="B924" s="11" t="inlineStr">
        <is>
          <t>Мексика</t>
        </is>
      </c>
      <c r="C924" s="11" t="inlineStr">
        <is>
          <t>AndesCargo</t>
        </is>
      </c>
      <c r="D924" s="11" t="inlineStr">
        <is>
          <t>AC39532626</t>
        </is>
      </c>
      <c r="E924" s="12" t="n">
        <v>46303</v>
      </c>
      <c r="F924" s="11" t="inlineStr">
        <is>
          <t>Held at customs</t>
        </is>
      </c>
      <c r="G924" s="13" t="n">
        <v>46308</v>
      </c>
      <c r="H924" s="5">
        <f>IF(G924="","",Rules!$B$1-G924)</f>
        <v/>
      </c>
      <c r="I924" s="5">
        <f>IF(F924="Address issue","address issue",IF(OR(F924="Delivered",F924="Returned to sender",G924=""),"",IF(AND(Rules!$B$3&lt;&gt;"",F924="Held at customs",H924&gt;=Rules!$B$3),"customs &gt;= "&amp;Rules!$B$3&amp;" days",IF(H924&gt;=Rules!$B$2,"idle &gt;= "&amp;Rules!$B$2&amp;" days",""))))</f>
        <v/>
      </c>
      <c r="J924" s="5">
        <f>IF(I924="","",IF(F924="Address issue",0,COUNTIF($I$2:$I$1001,"address issue"))+COUNTIFS($I$2:$I$1001,"?*",$F$2:$F$1001,IF(F924="Address issue","Address issue","&lt;&gt;Address issue"),$H$2:$H$1001,"&gt;"&amp;H924)+1)</f>
        <v/>
      </c>
    </row>
    <row r="925">
      <c r="A925" s="11" t="n">
        <v>100924</v>
      </c>
      <c r="B925" s="11" t="inlineStr">
        <is>
          <t>Канада</t>
        </is>
      </c>
      <c r="C925" s="11" t="inlineStr">
        <is>
          <t>PostLink</t>
        </is>
      </c>
      <c r="D925" s="11" t="inlineStr">
        <is>
          <t>PL98038591</t>
        </is>
      </c>
      <c r="E925" s="12" t="n">
        <v>46294</v>
      </c>
      <c r="F925" s="11" t="inlineStr">
        <is>
          <t>Delivered</t>
        </is>
      </c>
      <c r="G925" s="12" t="n">
        <v>46298</v>
      </c>
      <c r="H925" s="5">
        <f>IF(G925="","",Rules!$B$1-G925)</f>
        <v/>
      </c>
      <c r="I925" s="5">
        <f>IF(F925="Address issue","address issue",IF(OR(F925="Delivered",F925="Returned to sender",G925=""),"",IF(AND(Rules!$B$3&lt;&gt;"",F925="Held at customs",H925&gt;=Rules!$B$3),"customs &gt;= "&amp;Rules!$B$3&amp;" days",IF(H925&gt;=Rules!$B$2,"idle &gt;= "&amp;Rules!$B$2&amp;" days",""))))</f>
        <v/>
      </c>
      <c r="J925" s="5">
        <f>IF(I925="","",IF(F925="Address issue",0,COUNTIF($I$2:$I$1001,"address issue"))+COUNTIFS($I$2:$I$1001,"?*",$F$2:$F$1001,IF(F925="Address issue","Address issue","&lt;&gt;Address issue"),$H$2:$H$1001,"&gt;"&amp;H925)+1)</f>
        <v/>
      </c>
    </row>
    <row r="926">
      <c r="A926" s="11" t="n">
        <v>100925</v>
      </c>
      <c r="B926" s="11" t="inlineStr">
        <is>
          <t>Мексика</t>
        </is>
      </c>
      <c r="C926" s="11" t="inlineStr">
        <is>
          <t>AndesCargo</t>
        </is>
      </c>
      <c r="D926" s="11" t="inlineStr">
        <is>
          <t>AC80720306</t>
        </is>
      </c>
      <c r="E926" s="12" t="n">
        <v>46301</v>
      </c>
      <c r="F926" s="11" t="inlineStr">
        <is>
          <t>Held at customs</t>
        </is>
      </c>
      <c r="G926" s="13" t="n">
        <v>46308</v>
      </c>
      <c r="H926" s="5">
        <f>IF(G926="","",Rules!$B$1-G926)</f>
        <v/>
      </c>
      <c r="I926" s="5">
        <f>IF(F926="Address issue","address issue",IF(OR(F926="Delivered",F926="Returned to sender",G926=""),"",IF(AND(Rules!$B$3&lt;&gt;"",F926="Held at customs",H926&gt;=Rules!$B$3),"customs &gt;= "&amp;Rules!$B$3&amp;" days",IF(H926&gt;=Rules!$B$2,"idle &gt;= "&amp;Rules!$B$2&amp;" days",""))))</f>
        <v/>
      </c>
      <c r="J926" s="5">
        <f>IF(I926="","",IF(F926="Address issue",0,COUNTIF($I$2:$I$1001,"address issue"))+COUNTIFS($I$2:$I$1001,"?*",$F$2:$F$1001,IF(F926="Address issue","Address issue","&lt;&gt;Address issue"),$H$2:$H$1001,"&gt;"&amp;H926)+1)</f>
        <v/>
      </c>
    </row>
    <row r="927">
      <c r="A927" s="11" t="n">
        <v>100926</v>
      </c>
      <c r="B927" s="11" t="inlineStr">
        <is>
          <t>Мексика</t>
        </is>
      </c>
      <c r="C927" s="11" t="inlineStr">
        <is>
          <t>AndesCargo</t>
        </is>
      </c>
      <c r="D927" s="11" t="inlineStr">
        <is>
          <t>AC29291317</t>
        </is>
      </c>
      <c r="E927" s="12" t="n">
        <v>46300</v>
      </c>
      <c r="F927" s="11" t="inlineStr">
        <is>
          <t>Held at customs</t>
        </is>
      </c>
      <c r="G927" s="12" t="n">
        <v>46301</v>
      </c>
      <c r="H927" s="5">
        <f>IF(G927="","",Rules!$B$1-G927)</f>
        <v/>
      </c>
      <c r="I927" s="5">
        <f>IF(F927="Address issue","address issue",IF(OR(F927="Delivered",F927="Returned to sender",G927=""),"",IF(AND(Rules!$B$3&lt;&gt;"",F927="Held at customs",H927&gt;=Rules!$B$3),"customs &gt;= "&amp;Rules!$B$3&amp;" days",IF(H927&gt;=Rules!$B$2,"idle &gt;= "&amp;Rules!$B$2&amp;" days",""))))</f>
        <v/>
      </c>
      <c r="J927" s="5">
        <f>IF(I927="","",IF(F927="Address issue",0,COUNTIF($I$2:$I$1001,"address issue"))+COUNTIFS($I$2:$I$1001,"?*",$F$2:$F$1001,IF(F927="Address issue","Address issue","&lt;&gt;Address issue"),$H$2:$H$1001,"&gt;"&amp;H927)+1)</f>
        <v/>
      </c>
    </row>
    <row r="928">
      <c r="A928" s="11" t="n">
        <v>100927</v>
      </c>
      <c r="B928" s="11" t="inlineStr">
        <is>
          <t>Канада</t>
        </is>
      </c>
      <c r="C928" s="11" t="inlineStr">
        <is>
          <t>PostLink</t>
        </is>
      </c>
      <c r="D928" s="11" t="inlineStr">
        <is>
          <t>PL25636504</t>
        </is>
      </c>
      <c r="E928" s="12" t="n">
        <v>46295</v>
      </c>
      <c r="F928" s="11" t="inlineStr">
        <is>
          <t>Delivered</t>
        </is>
      </c>
      <c r="G928" s="13" t="n">
        <v>46306</v>
      </c>
      <c r="H928" s="5">
        <f>IF(G928="","",Rules!$B$1-G928)</f>
        <v/>
      </c>
      <c r="I928" s="5">
        <f>IF(F928="Address issue","address issue",IF(OR(F928="Delivered",F928="Returned to sender",G928=""),"",IF(AND(Rules!$B$3&lt;&gt;"",F928="Held at customs",H928&gt;=Rules!$B$3),"customs &gt;= "&amp;Rules!$B$3&amp;" days",IF(H928&gt;=Rules!$B$2,"idle &gt;= "&amp;Rules!$B$2&amp;" days",""))))</f>
        <v/>
      </c>
      <c r="J928" s="5">
        <f>IF(I928="","",IF(F928="Address issue",0,COUNTIF($I$2:$I$1001,"address issue"))+COUNTIFS($I$2:$I$1001,"?*",$F$2:$F$1001,IF(F928="Address issue","Address issue","&lt;&gt;Address issue"),$H$2:$H$1001,"&gt;"&amp;H928)+1)</f>
        <v/>
      </c>
    </row>
    <row r="929">
      <c r="A929" s="11" t="n">
        <v>100928</v>
      </c>
      <c r="B929" s="11" t="inlineStr">
        <is>
          <t>Бразилія</t>
        </is>
      </c>
      <c r="C929" s="11" t="inlineStr">
        <is>
          <t>SwiftParcel</t>
        </is>
      </c>
      <c r="D929" s="11" t="inlineStr">
        <is>
          <t>SP3416223</t>
        </is>
      </c>
      <c r="E929" s="12" t="n">
        <v>46285</v>
      </c>
      <c r="F929" s="11" t="inlineStr">
        <is>
          <t>In transit</t>
        </is>
      </c>
      <c r="G929" s="12" t="n">
        <v>46293</v>
      </c>
      <c r="H929" s="5">
        <f>IF(G929="","",Rules!$B$1-G929)</f>
        <v/>
      </c>
      <c r="I929" s="5">
        <f>IF(F929="Address issue","address issue",IF(OR(F929="Delivered",F929="Returned to sender",G929=""),"",IF(AND(Rules!$B$3&lt;&gt;"",F929="Held at customs",H929&gt;=Rules!$B$3),"customs &gt;= "&amp;Rules!$B$3&amp;" days",IF(H929&gt;=Rules!$B$2,"idle &gt;= "&amp;Rules!$B$2&amp;" days",""))))</f>
        <v/>
      </c>
      <c r="J929" s="5">
        <f>IF(I929="","",IF(F929="Address issue",0,COUNTIF($I$2:$I$1001,"address issue"))+COUNTIFS($I$2:$I$1001,"?*",$F$2:$F$1001,IF(F929="Address issue","Address issue","&lt;&gt;Address issue"),$H$2:$H$1001,"&gt;"&amp;H929)+1)</f>
        <v/>
      </c>
    </row>
    <row r="930">
      <c r="A930" s="11" t="n">
        <v>100929</v>
      </c>
      <c r="B930" s="11" t="inlineStr">
        <is>
          <t>Бразилія</t>
        </is>
      </c>
      <c r="C930" s="11" t="inlineStr">
        <is>
          <t>SwiftParcel</t>
        </is>
      </c>
      <c r="D930" s="11" t="inlineStr">
        <is>
          <t>SP8692839</t>
        </is>
      </c>
      <c r="E930" s="12" t="n">
        <v>46290</v>
      </c>
      <c r="F930" s="11" t="inlineStr">
        <is>
          <t>Delivered</t>
        </is>
      </c>
      <c r="G930" s="12" t="n">
        <v>46302</v>
      </c>
      <c r="H930" s="5">
        <f>IF(G930="","",Rules!$B$1-G930)</f>
        <v/>
      </c>
      <c r="I930" s="5">
        <f>IF(F930="Address issue","address issue",IF(OR(F930="Delivered",F930="Returned to sender",G930=""),"",IF(AND(Rules!$B$3&lt;&gt;"",F930="Held at customs",H930&gt;=Rules!$B$3),"customs &gt;= "&amp;Rules!$B$3&amp;" days",IF(H930&gt;=Rules!$B$2,"idle &gt;= "&amp;Rules!$B$2&amp;" days",""))))</f>
        <v/>
      </c>
      <c r="J930" s="5">
        <f>IF(I930="","",IF(F930="Address issue",0,COUNTIF($I$2:$I$1001,"address issue"))+COUNTIFS($I$2:$I$1001,"?*",$F$2:$F$1001,IF(F930="Address issue","Address issue","&lt;&gt;Address issue"),$H$2:$H$1001,"&gt;"&amp;H930)+1)</f>
        <v/>
      </c>
    </row>
    <row r="931">
      <c r="A931" s="11" t="n">
        <v>100930</v>
      </c>
      <c r="B931" s="11" t="inlineStr">
        <is>
          <t>Мексика</t>
        </is>
      </c>
      <c r="C931" s="11" t="inlineStr">
        <is>
          <t>AndesCargo</t>
        </is>
      </c>
      <c r="D931" s="11" t="inlineStr">
        <is>
          <t>AC12933612</t>
        </is>
      </c>
      <c r="E931" s="13" t="n">
        <v>46305</v>
      </c>
      <c r="F931" s="11" t="inlineStr">
        <is>
          <t>In transit</t>
        </is>
      </c>
      <c r="G931" s="13" t="n">
        <v>46307</v>
      </c>
      <c r="H931" s="5">
        <f>IF(G931="","",Rules!$B$1-G931)</f>
        <v/>
      </c>
      <c r="I931" s="5">
        <f>IF(F931="Address issue","address issue",IF(OR(F931="Delivered",F931="Returned to sender",G931=""),"",IF(AND(Rules!$B$3&lt;&gt;"",F931="Held at customs",H931&gt;=Rules!$B$3),"customs &gt;= "&amp;Rules!$B$3&amp;" days",IF(H931&gt;=Rules!$B$2,"idle &gt;= "&amp;Rules!$B$2&amp;" days",""))))</f>
        <v/>
      </c>
      <c r="J931" s="5">
        <f>IF(I931="","",IF(F931="Address issue",0,COUNTIF($I$2:$I$1001,"address issue"))+COUNTIFS($I$2:$I$1001,"?*",$F$2:$F$1001,IF(F931="Address issue","Address issue","&lt;&gt;Address issue"),$H$2:$H$1001,"&gt;"&amp;H931)+1)</f>
        <v/>
      </c>
    </row>
    <row r="932">
      <c r="A932" s="11" t="n">
        <v>100931</v>
      </c>
      <c r="B932" s="11" t="inlineStr">
        <is>
          <t>Мексика</t>
        </is>
      </c>
      <c r="C932" s="11" t="inlineStr">
        <is>
          <t>AndesCargo</t>
        </is>
      </c>
      <c r="D932" s="11" t="inlineStr">
        <is>
          <t>AC68155779</t>
        </is>
      </c>
      <c r="E932" s="12" t="n">
        <v>46283</v>
      </c>
      <c r="F932" s="11" t="inlineStr">
        <is>
          <t>Delivered</t>
        </is>
      </c>
      <c r="G932" s="12" t="n">
        <v>46291</v>
      </c>
      <c r="H932" s="5">
        <f>IF(G932="","",Rules!$B$1-G932)</f>
        <v/>
      </c>
      <c r="I932" s="5">
        <f>IF(F932="Address issue","address issue",IF(OR(F932="Delivered",F932="Returned to sender",G932=""),"",IF(AND(Rules!$B$3&lt;&gt;"",F932="Held at customs",H932&gt;=Rules!$B$3),"customs &gt;= "&amp;Rules!$B$3&amp;" days",IF(H932&gt;=Rules!$B$2,"idle &gt;= "&amp;Rules!$B$2&amp;" days",""))))</f>
        <v/>
      </c>
      <c r="J932" s="5">
        <f>IF(I932="","",IF(F932="Address issue",0,COUNTIF($I$2:$I$1001,"address issue"))+COUNTIFS($I$2:$I$1001,"?*",$F$2:$F$1001,IF(F932="Address issue","Address issue","&lt;&gt;Address issue"),$H$2:$H$1001,"&gt;"&amp;H932)+1)</f>
        <v/>
      </c>
    </row>
    <row r="933">
      <c r="A933" s="11" t="n">
        <v>100932</v>
      </c>
      <c r="B933" s="11" t="inlineStr">
        <is>
          <t>Бразилія</t>
        </is>
      </c>
      <c r="C933" s="11" t="inlineStr">
        <is>
          <t>SwiftParcel</t>
        </is>
      </c>
      <c r="D933" s="11" t="inlineStr">
        <is>
          <t>SP1490752</t>
        </is>
      </c>
      <c r="E933" s="13" t="n">
        <v>46308</v>
      </c>
      <c r="F933" s="11" t="inlineStr">
        <is>
          <t>Label created</t>
        </is>
      </c>
      <c r="G933" s="13" t="n">
        <v>46308</v>
      </c>
      <c r="H933" s="5">
        <f>IF(G933="","",Rules!$B$1-G933)</f>
        <v/>
      </c>
      <c r="I933" s="5">
        <f>IF(F933="Address issue","address issue",IF(OR(F933="Delivered",F933="Returned to sender",G933=""),"",IF(AND(Rules!$B$3&lt;&gt;"",F933="Held at customs",H933&gt;=Rules!$B$3),"customs &gt;= "&amp;Rules!$B$3&amp;" days",IF(H933&gt;=Rules!$B$2,"idle &gt;= "&amp;Rules!$B$2&amp;" days",""))))</f>
        <v/>
      </c>
      <c r="J933" s="5">
        <f>IF(I933="","",IF(F933="Address issue",0,COUNTIF($I$2:$I$1001,"address issue"))+COUNTIFS($I$2:$I$1001,"?*",$F$2:$F$1001,IF(F933="Address issue","Address issue","&lt;&gt;Address issue"),$H$2:$H$1001,"&gt;"&amp;H933)+1)</f>
        <v/>
      </c>
    </row>
    <row r="934">
      <c r="A934" s="11" t="n">
        <v>100933</v>
      </c>
      <c r="B934" s="11" t="inlineStr">
        <is>
          <t>Мексика</t>
        </is>
      </c>
      <c r="C934" s="11" t="inlineStr">
        <is>
          <t>SwiftParcel</t>
        </is>
      </c>
      <c r="D934" s="11" t="inlineStr">
        <is>
          <t>SP4367274</t>
        </is>
      </c>
      <c r="E934" s="12" t="n">
        <v>46300</v>
      </c>
      <c r="F934" s="11" t="inlineStr">
        <is>
          <t>Held at customs</t>
        </is>
      </c>
      <c r="G934" s="12" t="n">
        <v>46304</v>
      </c>
      <c r="H934" s="5">
        <f>IF(G934="","",Rules!$B$1-G934)</f>
        <v/>
      </c>
      <c r="I934" s="5">
        <f>IF(F934="Address issue","address issue",IF(OR(F934="Delivered",F934="Returned to sender",G934=""),"",IF(AND(Rules!$B$3&lt;&gt;"",F934="Held at customs",H934&gt;=Rules!$B$3),"customs &gt;= "&amp;Rules!$B$3&amp;" days",IF(H934&gt;=Rules!$B$2,"idle &gt;= "&amp;Rules!$B$2&amp;" days",""))))</f>
        <v/>
      </c>
      <c r="J934" s="5">
        <f>IF(I934="","",IF(F934="Address issue",0,COUNTIF($I$2:$I$1001,"address issue"))+COUNTIFS($I$2:$I$1001,"?*",$F$2:$F$1001,IF(F934="Address issue","Address issue","&lt;&gt;Address issue"),$H$2:$H$1001,"&gt;"&amp;H934)+1)</f>
        <v/>
      </c>
    </row>
    <row r="935">
      <c r="A935" s="11" t="n">
        <v>100934</v>
      </c>
      <c r="B935" s="11" t="inlineStr">
        <is>
          <t>Канада</t>
        </is>
      </c>
      <c r="C935" s="11" t="inlineStr">
        <is>
          <t>PostLink</t>
        </is>
      </c>
      <c r="D935" s="11" t="inlineStr">
        <is>
          <t>PL18257351</t>
        </is>
      </c>
      <c r="E935" s="12" t="n">
        <v>46289</v>
      </c>
      <c r="F935" s="11" t="inlineStr">
        <is>
          <t>Delivered</t>
        </is>
      </c>
      <c r="G935" s="12" t="n">
        <v>46294</v>
      </c>
      <c r="H935" s="5">
        <f>IF(G935="","",Rules!$B$1-G935)</f>
        <v/>
      </c>
      <c r="I935" s="5">
        <f>IF(F935="Address issue","address issue",IF(OR(F935="Delivered",F935="Returned to sender",G935=""),"",IF(AND(Rules!$B$3&lt;&gt;"",F935="Held at customs",H935&gt;=Rules!$B$3),"customs &gt;= "&amp;Rules!$B$3&amp;" days",IF(H935&gt;=Rules!$B$2,"idle &gt;= "&amp;Rules!$B$2&amp;" days",""))))</f>
        <v/>
      </c>
      <c r="J935" s="5">
        <f>IF(I935="","",IF(F935="Address issue",0,COUNTIF($I$2:$I$1001,"address issue"))+COUNTIFS($I$2:$I$1001,"?*",$F$2:$F$1001,IF(F935="Address issue","Address issue","&lt;&gt;Address issue"),$H$2:$H$1001,"&gt;"&amp;H935)+1)</f>
        <v/>
      </c>
    </row>
    <row r="936">
      <c r="A936" s="11" t="n">
        <v>100935</v>
      </c>
      <c r="B936" s="11" t="inlineStr">
        <is>
          <t>Мексика</t>
        </is>
      </c>
      <c r="C936" s="11" t="inlineStr">
        <is>
          <t>AndesCargo</t>
        </is>
      </c>
      <c r="D936" s="11" t="inlineStr">
        <is>
          <t>AC56717642</t>
        </is>
      </c>
      <c r="E936" s="12" t="n">
        <v>46274</v>
      </c>
      <c r="F936" s="11" t="inlineStr">
        <is>
          <t>Delivered</t>
        </is>
      </c>
      <c r="G936" s="12" t="n">
        <v>46282</v>
      </c>
      <c r="H936" s="5">
        <f>IF(G936="","",Rules!$B$1-G936)</f>
        <v/>
      </c>
      <c r="I936" s="5">
        <f>IF(F936="Address issue","address issue",IF(OR(F936="Delivered",F936="Returned to sender",G936=""),"",IF(AND(Rules!$B$3&lt;&gt;"",F936="Held at customs",H936&gt;=Rules!$B$3),"customs &gt;= "&amp;Rules!$B$3&amp;" days",IF(H936&gt;=Rules!$B$2,"idle &gt;= "&amp;Rules!$B$2&amp;" days",""))))</f>
        <v/>
      </c>
      <c r="J936" s="5">
        <f>IF(I936="","",IF(F936="Address issue",0,COUNTIF($I$2:$I$1001,"address issue"))+COUNTIFS($I$2:$I$1001,"?*",$F$2:$F$1001,IF(F936="Address issue","Address issue","&lt;&gt;Address issue"),$H$2:$H$1001,"&gt;"&amp;H936)+1)</f>
        <v/>
      </c>
    </row>
    <row r="937">
      <c r="A937" s="11" t="n">
        <v>100936</v>
      </c>
      <c r="B937" s="11" t="inlineStr">
        <is>
          <t>Канада</t>
        </is>
      </c>
      <c r="C937" s="11" t="inlineStr">
        <is>
          <t>PostLink</t>
        </is>
      </c>
      <c r="D937" s="11" t="inlineStr">
        <is>
          <t>PL27568864</t>
        </is>
      </c>
      <c r="E937" s="12" t="n">
        <v>46286</v>
      </c>
      <c r="F937" s="11" t="inlineStr">
        <is>
          <t>In transit</t>
        </is>
      </c>
      <c r="G937" s="12" t="n">
        <v>46294</v>
      </c>
      <c r="H937" s="5">
        <f>IF(G937="","",Rules!$B$1-G937)</f>
        <v/>
      </c>
      <c r="I937" s="5">
        <f>IF(F937="Address issue","address issue",IF(OR(F937="Delivered",F937="Returned to sender",G937=""),"",IF(AND(Rules!$B$3&lt;&gt;"",F937="Held at customs",H937&gt;=Rules!$B$3),"customs &gt;= "&amp;Rules!$B$3&amp;" days",IF(H937&gt;=Rules!$B$2,"idle &gt;= "&amp;Rules!$B$2&amp;" days",""))))</f>
        <v/>
      </c>
      <c r="J937" s="5">
        <f>IF(I937="","",IF(F937="Address issue",0,COUNTIF($I$2:$I$1001,"address issue"))+COUNTIFS($I$2:$I$1001,"?*",$F$2:$F$1001,IF(F937="Address issue","Address issue","&lt;&gt;Address issue"),$H$2:$H$1001,"&gt;"&amp;H937)+1)</f>
        <v/>
      </c>
    </row>
    <row r="938">
      <c r="A938" s="11" t="n">
        <v>100937</v>
      </c>
      <c r="B938" s="11" t="inlineStr">
        <is>
          <t>Мексика</t>
        </is>
      </c>
      <c r="C938" s="11" t="inlineStr">
        <is>
          <t>AndesCargo</t>
        </is>
      </c>
      <c r="D938" s="11" t="inlineStr">
        <is>
          <t>AC59107961</t>
        </is>
      </c>
      <c r="E938" s="12" t="n">
        <v>46303</v>
      </c>
      <c r="F938" s="11" t="inlineStr">
        <is>
          <t>Delivered</t>
        </is>
      </c>
      <c r="G938" s="13" t="n">
        <v>46310</v>
      </c>
      <c r="H938" s="5">
        <f>IF(G938="","",Rules!$B$1-G938)</f>
        <v/>
      </c>
      <c r="I938" s="5">
        <f>IF(F938="Address issue","address issue",IF(OR(F938="Delivered",F938="Returned to sender",G938=""),"",IF(AND(Rules!$B$3&lt;&gt;"",F938="Held at customs",H938&gt;=Rules!$B$3),"customs &gt;= "&amp;Rules!$B$3&amp;" days",IF(H938&gt;=Rules!$B$2,"idle &gt;= "&amp;Rules!$B$2&amp;" days",""))))</f>
        <v/>
      </c>
      <c r="J938" s="5">
        <f>IF(I938="","",IF(F938="Address issue",0,COUNTIF($I$2:$I$1001,"address issue"))+COUNTIFS($I$2:$I$1001,"?*",$F$2:$F$1001,IF(F938="Address issue","Address issue","&lt;&gt;Address issue"),$H$2:$H$1001,"&gt;"&amp;H938)+1)</f>
        <v/>
      </c>
    </row>
    <row r="939">
      <c r="A939" s="11" t="n">
        <v>100938</v>
      </c>
      <c r="B939" s="11" t="inlineStr">
        <is>
          <t>Мексика</t>
        </is>
      </c>
      <c r="C939" s="11" t="inlineStr">
        <is>
          <t>SwiftParcel</t>
        </is>
      </c>
      <c r="D939" s="11" t="inlineStr">
        <is>
          <t>SP8014954</t>
        </is>
      </c>
      <c r="E939" s="13" t="n">
        <v>46305</v>
      </c>
      <c r="F939" s="11" t="inlineStr">
        <is>
          <t>Out for delivery</t>
        </is>
      </c>
      <c r="G939" s="13" t="n">
        <v>46309</v>
      </c>
      <c r="H939" s="5">
        <f>IF(G939="","",Rules!$B$1-G939)</f>
        <v/>
      </c>
      <c r="I939" s="5">
        <f>IF(F939="Address issue","address issue",IF(OR(F939="Delivered",F939="Returned to sender",G939=""),"",IF(AND(Rules!$B$3&lt;&gt;"",F939="Held at customs",H939&gt;=Rules!$B$3),"customs &gt;= "&amp;Rules!$B$3&amp;" days",IF(H939&gt;=Rules!$B$2,"idle &gt;= "&amp;Rules!$B$2&amp;" days",""))))</f>
        <v/>
      </c>
      <c r="J939" s="5">
        <f>IF(I939="","",IF(F939="Address issue",0,COUNTIF($I$2:$I$1001,"address issue"))+COUNTIFS($I$2:$I$1001,"?*",$F$2:$F$1001,IF(F939="Address issue","Address issue","&lt;&gt;Address issue"),$H$2:$H$1001,"&gt;"&amp;H939)+1)</f>
        <v/>
      </c>
    </row>
    <row r="940">
      <c r="A940" s="11" t="n">
        <v>100939</v>
      </c>
      <c r="B940" s="11" t="inlineStr">
        <is>
          <t>Канада</t>
        </is>
      </c>
      <c r="C940" s="11" t="inlineStr">
        <is>
          <t>PostLink</t>
        </is>
      </c>
      <c r="D940" s="11" t="inlineStr">
        <is>
          <t>PL60934829</t>
        </is>
      </c>
      <c r="E940" s="12" t="n">
        <v>46285</v>
      </c>
      <c r="F940" s="11" t="inlineStr">
        <is>
          <t>Delivered</t>
        </is>
      </c>
      <c r="G940" s="12" t="n">
        <v>46297</v>
      </c>
      <c r="H940" s="5">
        <f>IF(G940="","",Rules!$B$1-G940)</f>
        <v/>
      </c>
      <c r="I940" s="5">
        <f>IF(F940="Address issue","address issue",IF(OR(F940="Delivered",F940="Returned to sender",G940=""),"",IF(AND(Rules!$B$3&lt;&gt;"",F940="Held at customs",H940&gt;=Rules!$B$3),"customs &gt;= "&amp;Rules!$B$3&amp;" days",IF(H940&gt;=Rules!$B$2,"idle &gt;= "&amp;Rules!$B$2&amp;" days",""))))</f>
        <v/>
      </c>
      <c r="J940" s="5">
        <f>IF(I940="","",IF(F940="Address issue",0,COUNTIF($I$2:$I$1001,"address issue"))+COUNTIFS($I$2:$I$1001,"?*",$F$2:$F$1001,IF(F940="Address issue","Address issue","&lt;&gt;Address issue"),$H$2:$H$1001,"&gt;"&amp;H940)+1)</f>
        <v/>
      </c>
    </row>
    <row r="941">
      <c r="A941" s="11" t="n">
        <v>100940</v>
      </c>
      <c r="B941" s="11" t="inlineStr">
        <is>
          <t>Мексика</t>
        </is>
      </c>
      <c r="C941" s="11" t="inlineStr">
        <is>
          <t>AndesCargo</t>
        </is>
      </c>
      <c r="D941" s="11" t="inlineStr">
        <is>
          <t>AC23467354</t>
        </is>
      </c>
      <c r="E941" s="12" t="n">
        <v>46289</v>
      </c>
      <c r="F941" s="11" t="inlineStr">
        <is>
          <t>In transit</t>
        </is>
      </c>
      <c r="G941" s="12" t="n">
        <v>46293</v>
      </c>
      <c r="H941" s="5">
        <f>IF(G941="","",Rules!$B$1-G941)</f>
        <v/>
      </c>
      <c r="I941" s="5">
        <f>IF(F941="Address issue","address issue",IF(OR(F941="Delivered",F941="Returned to sender",G941=""),"",IF(AND(Rules!$B$3&lt;&gt;"",F941="Held at customs",H941&gt;=Rules!$B$3),"customs &gt;= "&amp;Rules!$B$3&amp;" days",IF(H941&gt;=Rules!$B$2,"idle &gt;= "&amp;Rules!$B$2&amp;" days",""))))</f>
        <v/>
      </c>
      <c r="J941" s="5">
        <f>IF(I941="","",IF(F941="Address issue",0,COUNTIF($I$2:$I$1001,"address issue"))+COUNTIFS($I$2:$I$1001,"?*",$F$2:$F$1001,IF(F941="Address issue","Address issue","&lt;&gt;Address issue"),$H$2:$H$1001,"&gt;"&amp;H941)+1)</f>
        <v/>
      </c>
    </row>
    <row r="942">
      <c r="A942" s="11" t="n">
        <v>100941</v>
      </c>
      <c r="B942" s="11" t="inlineStr">
        <is>
          <t>Бразилія</t>
        </is>
      </c>
      <c r="C942" s="11" t="inlineStr">
        <is>
          <t>SwiftParcel</t>
        </is>
      </c>
      <c r="D942" s="11" t="inlineStr">
        <is>
          <t>SP7045367</t>
        </is>
      </c>
      <c r="E942" s="12" t="n">
        <v>46286</v>
      </c>
      <c r="F942" s="11" t="inlineStr">
        <is>
          <t>Delivered</t>
        </is>
      </c>
      <c r="G942" s="12" t="n">
        <v>46298</v>
      </c>
      <c r="H942" s="5">
        <f>IF(G942="","",Rules!$B$1-G942)</f>
        <v/>
      </c>
      <c r="I942" s="5">
        <f>IF(F942="Address issue","address issue",IF(OR(F942="Delivered",F942="Returned to sender",G942=""),"",IF(AND(Rules!$B$3&lt;&gt;"",F942="Held at customs",H942&gt;=Rules!$B$3),"customs &gt;= "&amp;Rules!$B$3&amp;" days",IF(H942&gt;=Rules!$B$2,"idle &gt;= "&amp;Rules!$B$2&amp;" days",""))))</f>
        <v/>
      </c>
      <c r="J942" s="5">
        <f>IF(I942="","",IF(F942="Address issue",0,COUNTIF($I$2:$I$1001,"address issue"))+COUNTIFS($I$2:$I$1001,"?*",$F$2:$F$1001,IF(F942="Address issue","Address issue","&lt;&gt;Address issue"),$H$2:$H$1001,"&gt;"&amp;H942)+1)</f>
        <v/>
      </c>
    </row>
    <row r="943">
      <c r="A943" s="11" t="n">
        <v>100942</v>
      </c>
      <c r="B943" s="11" t="inlineStr">
        <is>
          <t>Мексика</t>
        </is>
      </c>
      <c r="C943" s="11" t="inlineStr">
        <is>
          <t>AndesCargo</t>
        </is>
      </c>
      <c r="D943" s="11" t="inlineStr">
        <is>
          <t>AC77080790</t>
        </is>
      </c>
      <c r="E943" s="13" t="n">
        <v>46306</v>
      </c>
      <c r="F943" s="11" t="inlineStr">
        <is>
          <t>In transit</t>
        </is>
      </c>
      <c r="G943" s="13" t="n">
        <v>46309</v>
      </c>
      <c r="H943" s="5">
        <f>IF(G943="","",Rules!$B$1-G943)</f>
        <v/>
      </c>
      <c r="I943" s="5">
        <f>IF(F943="Address issue","address issue",IF(OR(F943="Delivered",F943="Returned to sender",G943=""),"",IF(AND(Rules!$B$3&lt;&gt;"",F943="Held at customs",H943&gt;=Rules!$B$3),"customs &gt;= "&amp;Rules!$B$3&amp;" days",IF(H943&gt;=Rules!$B$2,"idle &gt;= "&amp;Rules!$B$2&amp;" days",""))))</f>
        <v/>
      </c>
      <c r="J943" s="5">
        <f>IF(I943="","",IF(F943="Address issue",0,COUNTIF($I$2:$I$1001,"address issue"))+COUNTIFS($I$2:$I$1001,"?*",$F$2:$F$1001,IF(F943="Address issue","Address issue","&lt;&gt;Address issue"),$H$2:$H$1001,"&gt;"&amp;H943)+1)</f>
        <v/>
      </c>
    </row>
    <row r="944">
      <c r="A944" s="11" t="n">
        <v>100943</v>
      </c>
      <c r="B944" s="11" t="inlineStr">
        <is>
          <t>Бразилія</t>
        </is>
      </c>
      <c r="C944" s="11" t="inlineStr">
        <is>
          <t>AndesCargo</t>
        </is>
      </c>
      <c r="D944" s="11" t="inlineStr">
        <is>
          <t>AC48648438</t>
        </is>
      </c>
      <c r="E944" s="12" t="n">
        <v>46291</v>
      </c>
      <c r="F944" s="11" t="inlineStr">
        <is>
          <t>Delivered</t>
        </is>
      </c>
      <c r="G944" s="12" t="n">
        <v>46296</v>
      </c>
      <c r="H944" s="5">
        <f>IF(G944="","",Rules!$B$1-G944)</f>
        <v/>
      </c>
      <c r="I944" s="5">
        <f>IF(F944="Address issue","address issue",IF(OR(F944="Delivered",F944="Returned to sender",G944=""),"",IF(AND(Rules!$B$3&lt;&gt;"",F944="Held at customs",H944&gt;=Rules!$B$3),"customs &gt;= "&amp;Rules!$B$3&amp;" days",IF(H944&gt;=Rules!$B$2,"idle &gt;= "&amp;Rules!$B$2&amp;" days",""))))</f>
        <v/>
      </c>
      <c r="J944" s="5">
        <f>IF(I944="","",IF(F944="Address issue",0,COUNTIF($I$2:$I$1001,"address issue"))+COUNTIFS($I$2:$I$1001,"?*",$F$2:$F$1001,IF(F944="Address issue","Address issue","&lt;&gt;Address issue"),$H$2:$H$1001,"&gt;"&amp;H944)+1)</f>
        <v/>
      </c>
    </row>
    <row r="945">
      <c r="A945" s="11" t="n">
        <v>100944</v>
      </c>
      <c r="B945" s="11" t="inlineStr">
        <is>
          <t>Мексика</t>
        </is>
      </c>
      <c r="C945" s="11" t="inlineStr">
        <is>
          <t>AndesCargo</t>
        </is>
      </c>
      <c r="D945" s="11" t="inlineStr">
        <is>
          <t>AC40707046</t>
        </is>
      </c>
      <c r="E945" s="12" t="n">
        <v>46289</v>
      </c>
      <c r="F945" s="11" t="inlineStr">
        <is>
          <t>Delivered</t>
        </is>
      </c>
      <c r="G945" s="12" t="n">
        <v>46292</v>
      </c>
      <c r="H945" s="5">
        <f>IF(G945="","",Rules!$B$1-G945)</f>
        <v/>
      </c>
      <c r="I945" s="5">
        <f>IF(F945="Address issue","address issue",IF(OR(F945="Delivered",F945="Returned to sender",G945=""),"",IF(AND(Rules!$B$3&lt;&gt;"",F945="Held at customs",H945&gt;=Rules!$B$3),"customs &gt;= "&amp;Rules!$B$3&amp;" days",IF(H945&gt;=Rules!$B$2,"idle &gt;= "&amp;Rules!$B$2&amp;" days",""))))</f>
        <v/>
      </c>
      <c r="J945" s="5">
        <f>IF(I945="","",IF(F945="Address issue",0,COUNTIF($I$2:$I$1001,"address issue"))+COUNTIFS($I$2:$I$1001,"?*",$F$2:$F$1001,IF(F945="Address issue","Address issue","&lt;&gt;Address issue"),$H$2:$H$1001,"&gt;"&amp;H945)+1)</f>
        <v/>
      </c>
    </row>
    <row r="946">
      <c r="A946" s="11" t="n">
        <v>100945</v>
      </c>
      <c r="B946" s="11" t="inlineStr">
        <is>
          <t>Бразилія</t>
        </is>
      </c>
      <c r="C946" s="11" t="inlineStr">
        <is>
          <t>SwiftParcel</t>
        </is>
      </c>
      <c r="D946" s="11" t="inlineStr">
        <is>
          <t>SP5016987</t>
        </is>
      </c>
      <c r="E946" s="12" t="n">
        <v>46291</v>
      </c>
      <c r="F946" s="11" t="inlineStr">
        <is>
          <t>Held at customs</t>
        </is>
      </c>
      <c r="G946" s="12" t="n">
        <v>46296</v>
      </c>
      <c r="H946" s="5">
        <f>IF(G946="","",Rules!$B$1-G946)</f>
        <v/>
      </c>
      <c r="I946" s="5">
        <f>IF(F946="Address issue","address issue",IF(OR(F946="Delivered",F946="Returned to sender",G946=""),"",IF(AND(Rules!$B$3&lt;&gt;"",F946="Held at customs",H946&gt;=Rules!$B$3),"customs &gt;= "&amp;Rules!$B$3&amp;" days",IF(H946&gt;=Rules!$B$2,"idle &gt;= "&amp;Rules!$B$2&amp;" days",""))))</f>
        <v/>
      </c>
      <c r="J946" s="5">
        <f>IF(I946="","",IF(F946="Address issue",0,COUNTIF($I$2:$I$1001,"address issue"))+COUNTIFS($I$2:$I$1001,"?*",$F$2:$F$1001,IF(F946="Address issue","Address issue","&lt;&gt;Address issue"),$H$2:$H$1001,"&gt;"&amp;H946)+1)</f>
        <v/>
      </c>
    </row>
    <row r="947">
      <c r="A947" s="11" t="n">
        <v>100946</v>
      </c>
      <c r="B947" s="11" t="inlineStr">
        <is>
          <t>Канада</t>
        </is>
      </c>
      <c r="C947" s="11" t="inlineStr">
        <is>
          <t>PostLink</t>
        </is>
      </c>
      <c r="D947" s="11" t="inlineStr">
        <is>
          <t>PL41557135</t>
        </is>
      </c>
      <c r="E947" s="12" t="n">
        <v>46300</v>
      </c>
      <c r="F947" s="11" t="inlineStr">
        <is>
          <t>In transit</t>
        </is>
      </c>
      <c r="G947" s="13" t="n">
        <v>46305</v>
      </c>
      <c r="H947" s="5">
        <f>IF(G947="","",Rules!$B$1-G947)</f>
        <v/>
      </c>
      <c r="I947" s="5">
        <f>IF(F947="Address issue","address issue",IF(OR(F947="Delivered",F947="Returned to sender",G947=""),"",IF(AND(Rules!$B$3&lt;&gt;"",F947="Held at customs",H947&gt;=Rules!$B$3),"customs &gt;= "&amp;Rules!$B$3&amp;" days",IF(H947&gt;=Rules!$B$2,"idle &gt;= "&amp;Rules!$B$2&amp;" days",""))))</f>
        <v/>
      </c>
      <c r="J947" s="5">
        <f>IF(I947="","",IF(F947="Address issue",0,COUNTIF($I$2:$I$1001,"address issue"))+COUNTIFS($I$2:$I$1001,"?*",$F$2:$F$1001,IF(F947="Address issue","Address issue","&lt;&gt;Address issue"),$H$2:$H$1001,"&gt;"&amp;H947)+1)</f>
        <v/>
      </c>
    </row>
    <row r="948">
      <c r="A948" s="11" t="n">
        <v>100947</v>
      </c>
      <c r="B948" s="11" t="inlineStr">
        <is>
          <t>Мексика</t>
        </is>
      </c>
      <c r="C948" s="11" t="inlineStr">
        <is>
          <t>AndesCargo</t>
        </is>
      </c>
      <c r="D948" s="11" t="inlineStr">
        <is>
          <t>AC71541764</t>
        </is>
      </c>
      <c r="E948" s="12" t="n">
        <v>46303</v>
      </c>
      <c r="F948" s="11" t="inlineStr">
        <is>
          <t>In transit</t>
        </is>
      </c>
      <c r="G948" s="13" t="n">
        <v>46307</v>
      </c>
      <c r="H948" s="5">
        <f>IF(G948="","",Rules!$B$1-G948)</f>
        <v/>
      </c>
      <c r="I948" s="5">
        <f>IF(F948="Address issue","address issue",IF(OR(F948="Delivered",F948="Returned to sender",G948=""),"",IF(AND(Rules!$B$3&lt;&gt;"",F948="Held at customs",H948&gt;=Rules!$B$3),"customs &gt;= "&amp;Rules!$B$3&amp;" days",IF(H948&gt;=Rules!$B$2,"idle &gt;= "&amp;Rules!$B$2&amp;" days",""))))</f>
        <v/>
      </c>
      <c r="J948" s="5">
        <f>IF(I948="","",IF(F948="Address issue",0,COUNTIF($I$2:$I$1001,"address issue"))+COUNTIFS($I$2:$I$1001,"?*",$F$2:$F$1001,IF(F948="Address issue","Address issue","&lt;&gt;Address issue"),$H$2:$H$1001,"&gt;"&amp;H948)+1)</f>
        <v/>
      </c>
    </row>
    <row r="949">
      <c r="A949" s="11" t="n">
        <v>100948</v>
      </c>
      <c r="B949" s="11" t="inlineStr">
        <is>
          <t>Канада</t>
        </is>
      </c>
      <c r="C949" s="11" t="inlineStr">
        <is>
          <t>PostLink</t>
        </is>
      </c>
      <c r="D949" s="11" t="inlineStr">
        <is>
          <t>PL41211194</t>
        </is>
      </c>
      <c r="E949" s="12" t="n">
        <v>46297</v>
      </c>
      <c r="F949" s="11" t="inlineStr">
        <is>
          <t>Delivered</t>
        </is>
      </c>
      <c r="G949" s="12" t="n">
        <v>46300</v>
      </c>
      <c r="H949" s="5">
        <f>IF(G949="","",Rules!$B$1-G949)</f>
        <v/>
      </c>
      <c r="I949" s="5">
        <f>IF(F949="Address issue","address issue",IF(OR(F949="Delivered",F949="Returned to sender",G949=""),"",IF(AND(Rules!$B$3&lt;&gt;"",F949="Held at customs",H949&gt;=Rules!$B$3),"customs &gt;= "&amp;Rules!$B$3&amp;" days",IF(H949&gt;=Rules!$B$2,"idle &gt;= "&amp;Rules!$B$2&amp;" days",""))))</f>
        <v/>
      </c>
      <c r="J949" s="5">
        <f>IF(I949="","",IF(F949="Address issue",0,COUNTIF($I$2:$I$1001,"address issue"))+COUNTIFS($I$2:$I$1001,"?*",$F$2:$F$1001,IF(F949="Address issue","Address issue","&lt;&gt;Address issue"),$H$2:$H$1001,"&gt;"&amp;H949)+1)</f>
        <v/>
      </c>
    </row>
    <row r="950">
      <c r="A950" s="11" t="n">
        <v>100949</v>
      </c>
      <c r="B950" s="11" t="inlineStr">
        <is>
          <t>Мексика</t>
        </is>
      </c>
      <c r="C950" s="11" t="inlineStr">
        <is>
          <t>AndesCargo</t>
        </is>
      </c>
      <c r="D950" s="11" t="inlineStr">
        <is>
          <t>AC19855910</t>
        </is>
      </c>
      <c r="E950" s="12" t="n">
        <v>46296</v>
      </c>
      <c r="F950" s="11" t="inlineStr">
        <is>
          <t>Delivered</t>
        </is>
      </c>
      <c r="G950" s="13" t="n">
        <v>46307</v>
      </c>
      <c r="H950" s="5">
        <f>IF(G950="","",Rules!$B$1-G950)</f>
        <v/>
      </c>
      <c r="I950" s="5">
        <f>IF(F950="Address issue","address issue",IF(OR(F950="Delivered",F950="Returned to sender",G950=""),"",IF(AND(Rules!$B$3&lt;&gt;"",F950="Held at customs",H950&gt;=Rules!$B$3),"customs &gt;= "&amp;Rules!$B$3&amp;" days",IF(H950&gt;=Rules!$B$2,"idle &gt;= "&amp;Rules!$B$2&amp;" days",""))))</f>
        <v/>
      </c>
      <c r="J950" s="5">
        <f>IF(I950="","",IF(F950="Address issue",0,COUNTIF($I$2:$I$1001,"address issue"))+COUNTIFS($I$2:$I$1001,"?*",$F$2:$F$1001,IF(F950="Address issue","Address issue","&lt;&gt;Address issue"),$H$2:$H$1001,"&gt;"&amp;H950)+1)</f>
        <v/>
      </c>
    </row>
    <row r="951">
      <c r="A951" s="11" t="n">
        <v>100950</v>
      </c>
      <c r="B951" s="11" t="inlineStr">
        <is>
          <t>Мексика</t>
        </is>
      </c>
      <c r="C951" s="11" t="inlineStr">
        <is>
          <t>SwiftParcel</t>
        </is>
      </c>
      <c r="D951" s="11" t="inlineStr">
        <is>
          <t>SP8686004</t>
        </is>
      </c>
      <c r="E951" s="12" t="n">
        <v>46295</v>
      </c>
      <c r="F951" s="11" t="inlineStr">
        <is>
          <t>Address issue</t>
        </is>
      </c>
      <c r="G951" s="12" t="n">
        <v>46302</v>
      </c>
      <c r="H951" s="5">
        <f>IF(G951="","",Rules!$B$1-G951)</f>
        <v/>
      </c>
      <c r="I951" s="5">
        <f>IF(F951="Address issue","address issue",IF(OR(F951="Delivered",F951="Returned to sender",G951=""),"",IF(AND(Rules!$B$3&lt;&gt;"",F951="Held at customs",H951&gt;=Rules!$B$3),"customs &gt;= "&amp;Rules!$B$3&amp;" days",IF(H951&gt;=Rules!$B$2,"idle &gt;= "&amp;Rules!$B$2&amp;" days",""))))</f>
        <v/>
      </c>
      <c r="J951" s="5">
        <f>IF(I951="","",IF(F951="Address issue",0,COUNTIF($I$2:$I$1001,"address issue"))+COUNTIFS($I$2:$I$1001,"?*",$F$2:$F$1001,IF(F951="Address issue","Address issue","&lt;&gt;Address issue"),$H$2:$H$1001,"&gt;"&amp;H951)+1)</f>
        <v/>
      </c>
    </row>
    <row r="952">
      <c r="A952" s="11" t="n">
        <v>100951</v>
      </c>
      <c r="B952" s="11" t="inlineStr">
        <is>
          <t>Канада</t>
        </is>
      </c>
      <c r="C952" s="11" t="inlineStr">
        <is>
          <t>PostLink</t>
        </is>
      </c>
      <c r="D952" s="11" t="inlineStr">
        <is>
          <t>PL83172927</t>
        </is>
      </c>
      <c r="E952" s="12" t="n">
        <v>46292</v>
      </c>
      <c r="F952" s="11" t="inlineStr">
        <is>
          <t>Delivered</t>
        </is>
      </c>
      <c r="G952" s="12" t="n">
        <v>46298</v>
      </c>
      <c r="H952" s="5">
        <f>IF(G952="","",Rules!$B$1-G952)</f>
        <v/>
      </c>
      <c r="I952" s="5">
        <f>IF(F952="Address issue","address issue",IF(OR(F952="Delivered",F952="Returned to sender",G952=""),"",IF(AND(Rules!$B$3&lt;&gt;"",F952="Held at customs",H952&gt;=Rules!$B$3),"customs &gt;= "&amp;Rules!$B$3&amp;" days",IF(H952&gt;=Rules!$B$2,"idle &gt;= "&amp;Rules!$B$2&amp;" days",""))))</f>
        <v/>
      </c>
      <c r="J952" s="5">
        <f>IF(I952="","",IF(F952="Address issue",0,COUNTIF($I$2:$I$1001,"address issue"))+COUNTIFS($I$2:$I$1001,"?*",$F$2:$F$1001,IF(F952="Address issue","Address issue","&lt;&gt;Address issue"),$H$2:$H$1001,"&gt;"&amp;H952)+1)</f>
        <v/>
      </c>
    </row>
    <row r="953">
      <c r="A953" s="11" t="n">
        <v>100952</v>
      </c>
      <c r="B953" s="11" t="inlineStr">
        <is>
          <t>Мексика</t>
        </is>
      </c>
      <c r="C953" s="11" t="inlineStr">
        <is>
          <t>SwiftParcel</t>
        </is>
      </c>
      <c r="D953" s="11" t="inlineStr">
        <is>
          <t>SP9591532</t>
        </is>
      </c>
      <c r="E953" s="12" t="n">
        <v>46273</v>
      </c>
      <c r="F953" s="11" t="inlineStr">
        <is>
          <t>Delivered</t>
        </is>
      </c>
      <c r="G953" s="12" t="n">
        <v>46284</v>
      </c>
      <c r="H953" s="5">
        <f>IF(G953="","",Rules!$B$1-G953)</f>
        <v/>
      </c>
      <c r="I953" s="5">
        <f>IF(F953="Address issue","address issue",IF(OR(F953="Delivered",F953="Returned to sender",G953=""),"",IF(AND(Rules!$B$3&lt;&gt;"",F953="Held at customs",H953&gt;=Rules!$B$3),"customs &gt;= "&amp;Rules!$B$3&amp;" days",IF(H953&gt;=Rules!$B$2,"idle &gt;= "&amp;Rules!$B$2&amp;" days",""))))</f>
        <v/>
      </c>
      <c r="J953" s="5">
        <f>IF(I953="","",IF(F953="Address issue",0,COUNTIF($I$2:$I$1001,"address issue"))+COUNTIFS($I$2:$I$1001,"?*",$F$2:$F$1001,IF(F953="Address issue","Address issue","&lt;&gt;Address issue"),$H$2:$H$1001,"&gt;"&amp;H953)+1)</f>
        <v/>
      </c>
    </row>
    <row r="954">
      <c r="A954" s="11" t="n">
        <v>100953</v>
      </c>
      <c r="B954" s="11" t="inlineStr">
        <is>
          <t>Мексика</t>
        </is>
      </c>
      <c r="C954" s="11" t="inlineStr">
        <is>
          <t>AndesCargo</t>
        </is>
      </c>
      <c r="D954" s="11" t="inlineStr">
        <is>
          <t>AC95361213</t>
        </is>
      </c>
      <c r="E954" s="12" t="n">
        <v>46303</v>
      </c>
      <c r="F954" s="11" t="inlineStr">
        <is>
          <t>In transit</t>
        </is>
      </c>
      <c r="G954" s="13" t="n">
        <v>46310</v>
      </c>
      <c r="H954" s="5">
        <f>IF(G954="","",Rules!$B$1-G954)</f>
        <v/>
      </c>
      <c r="I954" s="5">
        <f>IF(F954="Address issue","address issue",IF(OR(F954="Delivered",F954="Returned to sender",G954=""),"",IF(AND(Rules!$B$3&lt;&gt;"",F954="Held at customs",H954&gt;=Rules!$B$3),"customs &gt;= "&amp;Rules!$B$3&amp;" days",IF(H954&gt;=Rules!$B$2,"idle &gt;= "&amp;Rules!$B$2&amp;" days",""))))</f>
        <v/>
      </c>
      <c r="J954" s="5">
        <f>IF(I954="","",IF(F954="Address issue",0,COUNTIF($I$2:$I$1001,"address issue"))+COUNTIFS($I$2:$I$1001,"?*",$F$2:$F$1001,IF(F954="Address issue","Address issue","&lt;&gt;Address issue"),$H$2:$H$1001,"&gt;"&amp;H954)+1)</f>
        <v/>
      </c>
    </row>
    <row r="955">
      <c r="A955" s="11" t="n">
        <v>100954</v>
      </c>
      <c r="B955" s="11" t="inlineStr">
        <is>
          <t>Бразилія</t>
        </is>
      </c>
      <c r="C955" s="11" t="inlineStr">
        <is>
          <t>AndesCargo</t>
        </is>
      </c>
      <c r="D955" s="11" t="inlineStr">
        <is>
          <t>AC33596679</t>
        </is>
      </c>
      <c r="E955" s="12" t="n">
        <v>46302</v>
      </c>
      <c r="F955" s="11" t="inlineStr">
        <is>
          <t>In transit</t>
        </is>
      </c>
      <c r="G955" s="13" t="n">
        <v>46308</v>
      </c>
      <c r="H955" s="5">
        <f>IF(G955="","",Rules!$B$1-G955)</f>
        <v/>
      </c>
      <c r="I955" s="5">
        <f>IF(F955="Address issue","address issue",IF(OR(F955="Delivered",F955="Returned to sender",G955=""),"",IF(AND(Rules!$B$3&lt;&gt;"",F955="Held at customs",H955&gt;=Rules!$B$3),"customs &gt;= "&amp;Rules!$B$3&amp;" days",IF(H955&gt;=Rules!$B$2,"idle &gt;= "&amp;Rules!$B$2&amp;" days",""))))</f>
        <v/>
      </c>
      <c r="J955" s="5">
        <f>IF(I955="","",IF(F955="Address issue",0,COUNTIF($I$2:$I$1001,"address issue"))+COUNTIFS($I$2:$I$1001,"?*",$F$2:$F$1001,IF(F955="Address issue","Address issue","&lt;&gt;Address issue"),$H$2:$H$1001,"&gt;"&amp;H955)+1)</f>
        <v/>
      </c>
    </row>
    <row r="956">
      <c r="A956" s="11" t="n">
        <v>100955</v>
      </c>
      <c r="B956" s="11" t="inlineStr">
        <is>
          <t>Мексика</t>
        </is>
      </c>
      <c r="C956" s="11" t="inlineStr">
        <is>
          <t>SwiftParcel</t>
        </is>
      </c>
      <c r="D956" s="11" t="inlineStr">
        <is>
          <t>SP5134159</t>
        </is>
      </c>
      <c r="E956" s="12" t="n">
        <v>46274</v>
      </c>
      <c r="F956" s="11" t="inlineStr">
        <is>
          <t>Delivered</t>
        </is>
      </c>
      <c r="G956" s="12" t="n">
        <v>46285</v>
      </c>
      <c r="H956" s="5">
        <f>IF(G956="","",Rules!$B$1-G956)</f>
        <v/>
      </c>
      <c r="I956" s="5">
        <f>IF(F956="Address issue","address issue",IF(OR(F956="Delivered",F956="Returned to sender",G956=""),"",IF(AND(Rules!$B$3&lt;&gt;"",F956="Held at customs",H956&gt;=Rules!$B$3),"customs &gt;= "&amp;Rules!$B$3&amp;" days",IF(H956&gt;=Rules!$B$2,"idle &gt;= "&amp;Rules!$B$2&amp;" days",""))))</f>
        <v/>
      </c>
      <c r="J956" s="5">
        <f>IF(I956="","",IF(F956="Address issue",0,COUNTIF($I$2:$I$1001,"address issue"))+COUNTIFS($I$2:$I$1001,"?*",$F$2:$F$1001,IF(F956="Address issue","Address issue","&lt;&gt;Address issue"),$H$2:$H$1001,"&gt;"&amp;H956)+1)</f>
        <v/>
      </c>
    </row>
    <row r="957">
      <c r="A957" s="11" t="n">
        <v>100956</v>
      </c>
      <c r="B957" s="11" t="inlineStr">
        <is>
          <t>Бразилія</t>
        </is>
      </c>
      <c r="C957" s="11" t="inlineStr">
        <is>
          <t>AndesCargo</t>
        </is>
      </c>
      <c r="D957" s="11" t="inlineStr">
        <is>
          <t>AC44162376</t>
        </is>
      </c>
      <c r="E957" s="12" t="n">
        <v>46299</v>
      </c>
      <c r="F957" s="11" t="inlineStr">
        <is>
          <t>Delivered</t>
        </is>
      </c>
      <c r="G957" s="12" t="n">
        <v>46303</v>
      </c>
      <c r="H957" s="5">
        <f>IF(G957="","",Rules!$B$1-G957)</f>
        <v/>
      </c>
      <c r="I957" s="5">
        <f>IF(F957="Address issue","address issue",IF(OR(F957="Delivered",F957="Returned to sender",G957=""),"",IF(AND(Rules!$B$3&lt;&gt;"",F957="Held at customs",H957&gt;=Rules!$B$3),"customs &gt;= "&amp;Rules!$B$3&amp;" days",IF(H957&gt;=Rules!$B$2,"idle &gt;= "&amp;Rules!$B$2&amp;" days",""))))</f>
        <v/>
      </c>
      <c r="J957" s="5">
        <f>IF(I957="","",IF(F957="Address issue",0,COUNTIF($I$2:$I$1001,"address issue"))+COUNTIFS($I$2:$I$1001,"?*",$F$2:$F$1001,IF(F957="Address issue","Address issue","&lt;&gt;Address issue"),$H$2:$H$1001,"&gt;"&amp;H957)+1)</f>
        <v/>
      </c>
    </row>
    <row r="958">
      <c r="A958" s="11" t="n">
        <v>100957</v>
      </c>
      <c r="B958" s="11" t="inlineStr">
        <is>
          <t>Канада</t>
        </is>
      </c>
      <c r="C958" s="11" t="inlineStr">
        <is>
          <t>PostLink</t>
        </is>
      </c>
      <c r="D958" s="11" t="inlineStr">
        <is>
          <t>PL62875627</t>
        </is>
      </c>
      <c r="E958" s="13" t="n">
        <v>46307</v>
      </c>
      <c r="F958" s="11" t="inlineStr">
        <is>
          <t>In transit</t>
        </is>
      </c>
      <c r="G958" s="13" t="n">
        <v>46308</v>
      </c>
      <c r="H958" s="5">
        <f>IF(G958="","",Rules!$B$1-G958)</f>
        <v/>
      </c>
      <c r="I958" s="5">
        <f>IF(F958="Address issue","address issue",IF(OR(F958="Delivered",F958="Returned to sender",G958=""),"",IF(AND(Rules!$B$3&lt;&gt;"",F958="Held at customs",H958&gt;=Rules!$B$3),"customs &gt;= "&amp;Rules!$B$3&amp;" days",IF(H958&gt;=Rules!$B$2,"idle &gt;= "&amp;Rules!$B$2&amp;" days",""))))</f>
        <v/>
      </c>
      <c r="J958" s="5">
        <f>IF(I958="","",IF(F958="Address issue",0,COUNTIF($I$2:$I$1001,"address issue"))+COUNTIFS($I$2:$I$1001,"?*",$F$2:$F$1001,IF(F958="Address issue","Address issue","&lt;&gt;Address issue"),$H$2:$H$1001,"&gt;"&amp;H958)+1)</f>
        <v/>
      </c>
    </row>
    <row r="959">
      <c r="A959" s="11" t="n">
        <v>100958</v>
      </c>
      <c r="B959" s="11" t="inlineStr">
        <is>
          <t>Мексика</t>
        </is>
      </c>
      <c r="C959" s="11" t="inlineStr">
        <is>
          <t>AndesCargo</t>
        </is>
      </c>
      <c r="D959" s="11" t="inlineStr">
        <is>
          <t>AC17323395</t>
        </is>
      </c>
      <c r="E959" s="12" t="n">
        <v>46300</v>
      </c>
      <c r="F959" s="11" t="inlineStr">
        <is>
          <t>Address issue</t>
        </is>
      </c>
      <c r="G959" s="12" t="n">
        <v>46304</v>
      </c>
      <c r="H959" s="5">
        <f>IF(G959="","",Rules!$B$1-G959)</f>
        <v/>
      </c>
      <c r="I959" s="5">
        <f>IF(F959="Address issue","address issue",IF(OR(F959="Delivered",F959="Returned to sender",G959=""),"",IF(AND(Rules!$B$3&lt;&gt;"",F959="Held at customs",H959&gt;=Rules!$B$3),"customs &gt;= "&amp;Rules!$B$3&amp;" days",IF(H959&gt;=Rules!$B$2,"idle &gt;= "&amp;Rules!$B$2&amp;" days",""))))</f>
        <v/>
      </c>
      <c r="J959" s="5">
        <f>IF(I959="","",IF(F959="Address issue",0,COUNTIF($I$2:$I$1001,"address issue"))+COUNTIFS($I$2:$I$1001,"?*",$F$2:$F$1001,IF(F959="Address issue","Address issue","&lt;&gt;Address issue"),$H$2:$H$1001,"&gt;"&amp;H959)+1)</f>
        <v/>
      </c>
    </row>
    <row r="960">
      <c r="A960" s="11" t="n">
        <v>100959</v>
      </c>
      <c r="B960" s="11" t="inlineStr">
        <is>
          <t>Бразилія</t>
        </is>
      </c>
      <c r="C960" s="11" t="inlineStr">
        <is>
          <t>SwiftParcel</t>
        </is>
      </c>
      <c r="D960" s="11" t="inlineStr">
        <is>
          <t>SP5977159</t>
        </is>
      </c>
      <c r="E960" s="12" t="n">
        <v>46298</v>
      </c>
      <c r="F960" s="11" t="inlineStr">
        <is>
          <t>Delivered</t>
        </is>
      </c>
      <c r="G960" s="13" t="n">
        <v>46306</v>
      </c>
      <c r="H960" s="5">
        <f>IF(G960="","",Rules!$B$1-G960)</f>
        <v/>
      </c>
      <c r="I960" s="5">
        <f>IF(F960="Address issue","address issue",IF(OR(F960="Delivered",F960="Returned to sender",G960=""),"",IF(AND(Rules!$B$3&lt;&gt;"",F960="Held at customs",H960&gt;=Rules!$B$3),"customs &gt;= "&amp;Rules!$B$3&amp;" days",IF(H960&gt;=Rules!$B$2,"idle &gt;= "&amp;Rules!$B$2&amp;" days",""))))</f>
        <v/>
      </c>
      <c r="J960" s="5">
        <f>IF(I960="","",IF(F960="Address issue",0,COUNTIF($I$2:$I$1001,"address issue"))+COUNTIFS($I$2:$I$1001,"?*",$F$2:$F$1001,IF(F960="Address issue","Address issue","&lt;&gt;Address issue"),$H$2:$H$1001,"&gt;"&amp;H960)+1)</f>
        <v/>
      </c>
    </row>
    <row r="961">
      <c r="A961" s="11" t="n">
        <v>100960</v>
      </c>
      <c r="B961" s="11" t="inlineStr">
        <is>
          <t>Бразилія</t>
        </is>
      </c>
      <c r="C961" s="11" t="inlineStr">
        <is>
          <t>SwiftParcel</t>
        </is>
      </c>
      <c r="D961" s="11" t="inlineStr">
        <is>
          <t>SP7276113</t>
        </is>
      </c>
      <c r="E961" s="12" t="n">
        <v>46300</v>
      </c>
      <c r="F961" s="11" t="inlineStr">
        <is>
          <t>In transit</t>
        </is>
      </c>
      <c r="G961" s="13" t="n">
        <v>46305</v>
      </c>
      <c r="H961" s="5">
        <f>IF(G961="","",Rules!$B$1-G961)</f>
        <v/>
      </c>
      <c r="I961" s="5">
        <f>IF(F961="Address issue","address issue",IF(OR(F961="Delivered",F961="Returned to sender",G961=""),"",IF(AND(Rules!$B$3&lt;&gt;"",F961="Held at customs",H961&gt;=Rules!$B$3),"customs &gt;= "&amp;Rules!$B$3&amp;" days",IF(H961&gt;=Rules!$B$2,"idle &gt;= "&amp;Rules!$B$2&amp;" days",""))))</f>
        <v/>
      </c>
      <c r="J961" s="5">
        <f>IF(I961="","",IF(F961="Address issue",0,COUNTIF($I$2:$I$1001,"address issue"))+COUNTIFS($I$2:$I$1001,"?*",$F$2:$F$1001,IF(F961="Address issue","Address issue","&lt;&gt;Address issue"),$H$2:$H$1001,"&gt;"&amp;H961)+1)</f>
        <v/>
      </c>
    </row>
    <row r="962">
      <c r="A962" s="11" t="n">
        <v>100961</v>
      </c>
      <c r="B962" s="11" t="inlineStr">
        <is>
          <t>Мексика</t>
        </is>
      </c>
      <c r="C962" s="11" t="inlineStr">
        <is>
          <t>AndesCargo</t>
        </is>
      </c>
      <c r="D962" s="11" t="inlineStr">
        <is>
          <t>AC54247238</t>
        </is>
      </c>
      <c r="E962" s="12" t="n">
        <v>46287</v>
      </c>
      <c r="F962" s="11" t="inlineStr">
        <is>
          <t>Delivered</t>
        </is>
      </c>
      <c r="G962" s="12" t="n">
        <v>46296</v>
      </c>
      <c r="H962" s="5">
        <f>IF(G962="","",Rules!$B$1-G962)</f>
        <v/>
      </c>
      <c r="I962" s="5">
        <f>IF(F962="Address issue","address issue",IF(OR(F962="Delivered",F962="Returned to sender",G962=""),"",IF(AND(Rules!$B$3&lt;&gt;"",F962="Held at customs",H962&gt;=Rules!$B$3),"customs &gt;= "&amp;Rules!$B$3&amp;" days",IF(H962&gt;=Rules!$B$2,"idle &gt;= "&amp;Rules!$B$2&amp;" days",""))))</f>
        <v/>
      </c>
      <c r="J962" s="5">
        <f>IF(I962="","",IF(F962="Address issue",0,COUNTIF($I$2:$I$1001,"address issue"))+COUNTIFS($I$2:$I$1001,"?*",$F$2:$F$1001,IF(F962="Address issue","Address issue","&lt;&gt;Address issue"),$H$2:$H$1001,"&gt;"&amp;H962)+1)</f>
        <v/>
      </c>
    </row>
    <row r="963">
      <c r="A963" s="11" t="n">
        <v>100962</v>
      </c>
      <c r="B963" s="11" t="inlineStr">
        <is>
          <t>Мексика</t>
        </is>
      </c>
      <c r="C963" s="11" t="inlineStr">
        <is>
          <t>AndesCargo</t>
        </is>
      </c>
      <c r="D963" s="11" t="inlineStr">
        <is>
          <t>AC98513338</t>
        </is>
      </c>
      <c r="E963" s="12" t="n">
        <v>46303</v>
      </c>
      <c r="F963" s="11" t="inlineStr">
        <is>
          <t>In transit</t>
        </is>
      </c>
      <c r="G963" s="13" t="n">
        <v>46305</v>
      </c>
      <c r="H963" s="5">
        <f>IF(G963="","",Rules!$B$1-G963)</f>
        <v/>
      </c>
      <c r="I963" s="5">
        <f>IF(F963="Address issue","address issue",IF(OR(F963="Delivered",F963="Returned to sender",G963=""),"",IF(AND(Rules!$B$3&lt;&gt;"",F963="Held at customs",H963&gt;=Rules!$B$3),"customs &gt;= "&amp;Rules!$B$3&amp;" days",IF(H963&gt;=Rules!$B$2,"idle &gt;= "&amp;Rules!$B$2&amp;" days",""))))</f>
        <v/>
      </c>
      <c r="J963" s="5">
        <f>IF(I963="","",IF(F963="Address issue",0,COUNTIF($I$2:$I$1001,"address issue"))+COUNTIFS($I$2:$I$1001,"?*",$F$2:$F$1001,IF(F963="Address issue","Address issue","&lt;&gt;Address issue"),$H$2:$H$1001,"&gt;"&amp;H963)+1)</f>
        <v/>
      </c>
    </row>
    <row r="964">
      <c r="A964" s="11" t="n">
        <v>100963</v>
      </c>
      <c r="B964" s="11" t="inlineStr">
        <is>
          <t>Мексика</t>
        </is>
      </c>
      <c r="C964" s="11" t="inlineStr">
        <is>
          <t>AndesCargo</t>
        </is>
      </c>
      <c r="D964" s="11" t="inlineStr">
        <is>
          <t>AC77197354</t>
        </is>
      </c>
      <c r="E964" s="12" t="n">
        <v>46277</v>
      </c>
      <c r="F964" s="11" t="inlineStr">
        <is>
          <t>Delivered</t>
        </is>
      </c>
      <c r="G964" s="12" t="n">
        <v>46282</v>
      </c>
      <c r="H964" s="5">
        <f>IF(G964="","",Rules!$B$1-G964)</f>
        <v/>
      </c>
      <c r="I964" s="5">
        <f>IF(F964="Address issue","address issue",IF(OR(F964="Delivered",F964="Returned to sender",G964=""),"",IF(AND(Rules!$B$3&lt;&gt;"",F964="Held at customs",H964&gt;=Rules!$B$3),"customs &gt;= "&amp;Rules!$B$3&amp;" days",IF(H964&gt;=Rules!$B$2,"idle &gt;= "&amp;Rules!$B$2&amp;" days",""))))</f>
        <v/>
      </c>
      <c r="J964" s="5">
        <f>IF(I964="","",IF(F964="Address issue",0,COUNTIF($I$2:$I$1001,"address issue"))+COUNTIFS($I$2:$I$1001,"?*",$F$2:$F$1001,IF(F964="Address issue","Address issue","&lt;&gt;Address issue"),$H$2:$H$1001,"&gt;"&amp;H964)+1)</f>
        <v/>
      </c>
    </row>
    <row r="965">
      <c r="A965" s="11" t="n">
        <v>100964</v>
      </c>
      <c r="B965" s="11" t="inlineStr">
        <is>
          <t>Бразилія</t>
        </is>
      </c>
      <c r="C965" s="11" t="inlineStr">
        <is>
          <t>AndesCargo</t>
        </is>
      </c>
      <c r="D965" s="11" t="inlineStr">
        <is>
          <t>AC52382187</t>
        </is>
      </c>
      <c r="E965" s="12" t="n">
        <v>46303</v>
      </c>
      <c r="F965" s="11" t="inlineStr">
        <is>
          <t>In transit</t>
        </is>
      </c>
      <c r="G965" s="13" t="n">
        <v>46310</v>
      </c>
      <c r="H965" s="5">
        <f>IF(G965="","",Rules!$B$1-G965)</f>
        <v/>
      </c>
      <c r="I965" s="5">
        <f>IF(F965="Address issue","address issue",IF(OR(F965="Delivered",F965="Returned to sender",G965=""),"",IF(AND(Rules!$B$3&lt;&gt;"",F965="Held at customs",H965&gt;=Rules!$B$3),"customs &gt;= "&amp;Rules!$B$3&amp;" days",IF(H965&gt;=Rules!$B$2,"idle &gt;= "&amp;Rules!$B$2&amp;" days",""))))</f>
        <v/>
      </c>
      <c r="J965" s="5">
        <f>IF(I965="","",IF(F965="Address issue",0,COUNTIF($I$2:$I$1001,"address issue"))+COUNTIFS($I$2:$I$1001,"?*",$F$2:$F$1001,IF(F965="Address issue","Address issue","&lt;&gt;Address issue"),$H$2:$H$1001,"&gt;"&amp;H965)+1)</f>
        <v/>
      </c>
    </row>
    <row r="966">
      <c r="A966" s="11" t="n">
        <v>100965</v>
      </c>
      <c r="B966" s="11" t="inlineStr">
        <is>
          <t>Канада</t>
        </is>
      </c>
      <c r="C966" s="11" t="inlineStr">
        <is>
          <t>PostLink</t>
        </is>
      </c>
      <c r="D966" s="11" t="inlineStr">
        <is>
          <t>PL38233971</t>
        </is>
      </c>
      <c r="E966" s="12" t="n">
        <v>46295</v>
      </c>
      <c r="F966" s="11" t="inlineStr">
        <is>
          <t>Delivered</t>
        </is>
      </c>
      <c r="G966" s="12" t="n">
        <v>46304</v>
      </c>
      <c r="H966" s="5">
        <f>IF(G966="","",Rules!$B$1-G966)</f>
        <v/>
      </c>
      <c r="I966" s="5">
        <f>IF(F966="Address issue","address issue",IF(OR(F966="Delivered",F966="Returned to sender",G966=""),"",IF(AND(Rules!$B$3&lt;&gt;"",F966="Held at customs",H966&gt;=Rules!$B$3),"customs &gt;= "&amp;Rules!$B$3&amp;" days",IF(H966&gt;=Rules!$B$2,"idle &gt;= "&amp;Rules!$B$2&amp;" days",""))))</f>
        <v/>
      </c>
      <c r="J966" s="5">
        <f>IF(I966="","",IF(F966="Address issue",0,COUNTIF($I$2:$I$1001,"address issue"))+COUNTIFS($I$2:$I$1001,"?*",$F$2:$F$1001,IF(F966="Address issue","Address issue","&lt;&gt;Address issue"),$H$2:$H$1001,"&gt;"&amp;H966)+1)</f>
        <v/>
      </c>
    </row>
    <row r="967">
      <c r="A967" s="11" t="n">
        <v>100966</v>
      </c>
      <c r="B967" s="11" t="inlineStr">
        <is>
          <t>Мексика</t>
        </is>
      </c>
      <c r="C967" s="11" t="inlineStr">
        <is>
          <t>AndesCargo</t>
        </is>
      </c>
      <c r="D967" s="11" t="inlineStr">
        <is>
          <t>AC38368501</t>
        </is>
      </c>
      <c r="E967" s="12" t="n">
        <v>46298</v>
      </c>
      <c r="F967" s="11" t="inlineStr">
        <is>
          <t>Delivered</t>
        </is>
      </c>
      <c r="G967" s="13" t="n">
        <v>46308</v>
      </c>
      <c r="H967" s="5">
        <f>IF(G967="","",Rules!$B$1-G967)</f>
        <v/>
      </c>
      <c r="I967" s="5">
        <f>IF(F967="Address issue","address issue",IF(OR(F967="Delivered",F967="Returned to sender",G967=""),"",IF(AND(Rules!$B$3&lt;&gt;"",F967="Held at customs",H967&gt;=Rules!$B$3),"customs &gt;= "&amp;Rules!$B$3&amp;" days",IF(H967&gt;=Rules!$B$2,"idle &gt;= "&amp;Rules!$B$2&amp;" days",""))))</f>
        <v/>
      </c>
      <c r="J967" s="5">
        <f>IF(I967="","",IF(F967="Address issue",0,COUNTIF($I$2:$I$1001,"address issue"))+COUNTIFS($I$2:$I$1001,"?*",$F$2:$F$1001,IF(F967="Address issue","Address issue","&lt;&gt;Address issue"),$H$2:$H$1001,"&gt;"&amp;H967)+1)</f>
        <v/>
      </c>
    </row>
    <row r="968">
      <c r="A968" s="11" t="n">
        <v>100967</v>
      </c>
      <c r="B968" s="11" t="inlineStr">
        <is>
          <t>Бразилія</t>
        </is>
      </c>
      <c r="C968" s="11" t="inlineStr">
        <is>
          <t>SwiftParcel</t>
        </is>
      </c>
      <c r="D968" s="11" t="inlineStr">
        <is>
          <t>SP7479557</t>
        </is>
      </c>
      <c r="E968" s="12" t="n">
        <v>46301</v>
      </c>
      <c r="F968" s="11" t="inlineStr">
        <is>
          <t>Held at customs</t>
        </is>
      </c>
      <c r="G968" s="12" t="n">
        <v>46303</v>
      </c>
      <c r="H968" s="5">
        <f>IF(G968="","",Rules!$B$1-G968)</f>
        <v/>
      </c>
      <c r="I968" s="5">
        <f>IF(F968="Address issue","address issue",IF(OR(F968="Delivered",F968="Returned to sender",G968=""),"",IF(AND(Rules!$B$3&lt;&gt;"",F968="Held at customs",H968&gt;=Rules!$B$3),"customs &gt;= "&amp;Rules!$B$3&amp;" days",IF(H968&gt;=Rules!$B$2,"idle &gt;= "&amp;Rules!$B$2&amp;" days",""))))</f>
        <v/>
      </c>
      <c r="J968" s="5">
        <f>IF(I968="","",IF(F968="Address issue",0,COUNTIF($I$2:$I$1001,"address issue"))+COUNTIFS($I$2:$I$1001,"?*",$F$2:$F$1001,IF(F968="Address issue","Address issue","&lt;&gt;Address issue"),$H$2:$H$1001,"&gt;"&amp;H968)+1)</f>
        <v/>
      </c>
    </row>
    <row r="969">
      <c r="A969" s="11" t="n">
        <v>100968</v>
      </c>
      <c r="B969" s="11" t="inlineStr">
        <is>
          <t>Мексика</t>
        </is>
      </c>
      <c r="C969" s="11" t="inlineStr">
        <is>
          <t>AndesCargo</t>
        </is>
      </c>
      <c r="D969" s="11" t="inlineStr">
        <is>
          <t>AC72652964</t>
        </is>
      </c>
      <c r="E969" s="12" t="n">
        <v>46303</v>
      </c>
      <c r="F969" s="11" t="inlineStr">
        <is>
          <t>Label created</t>
        </is>
      </c>
      <c r="G969" s="12" t="n">
        <v>46303</v>
      </c>
      <c r="H969" s="5">
        <f>IF(G969="","",Rules!$B$1-G969)</f>
        <v/>
      </c>
      <c r="I969" s="5">
        <f>IF(F969="Address issue","address issue",IF(OR(F969="Delivered",F969="Returned to sender",G969=""),"",IF(AND(Rules!$B$3&lt;&gt;"",F969="Held at customs",H969&gt;=Rules!$B$3),"customs &gt;= "&amp;Rules!$B$3&amp;" days",IF(H969&gt;=Rules!$B$2,"idle &gt;= "&amp;Rules!$B$2&amp;" days",""))))</f>
        <v/>
      </c>
      <c r="J969" s="5">
        <f>IF(I969="","",IF(F969="Address issue",0,COUNTIF($I$2:$I$1001,"address issue"))+COUNTIFS($I$2:$I$1001,"?*",$F$2:$F$1001,IF(F969="Address issue","Address issue","&lt;&gt;Address issue"),$H$2:$H$1001,"&gt;"&amp;H969)+1)</f>
        <v/>
      </c>
    </row>
    <row r="970">
      <c r="A970" s="11" t="n">
        <v>100969</v>
      </c>
      <c r="B970" s="11" t="inlineStr">
        <is>
          <t>Канада</t>
        </is>
      </c>
      <c r="C970" s="11" t="inlineStr">
        <is>
          <t>PostLink</t>
        </is>
      </c>
      <c r="D970" s="11" t="inlineStr">
        <is>
          <t>PL57362880</t>
        </is>
      </c>
      <c r="E970" s="12" t="n">
        <v>46302</v>
      </c>
      <c r="F970" s="11" t="inlineStr">
        <is>
          <t>Delivered</t>
        </is>
      </c>
      <c r="G970" s="13" t="n">
        <v>46305</v>
      </c>
      <c r="H970" s="5">
        <f>IF(G970="","",Rules!$B$1-G970)</f>
        <v/>
      </c>
      <c r="I970" s="5">
        <f>IF(F970="Address issue","address issue",IF(OR(F970="Delivered",F970="Returned to sender",G970=""),"",IF(AND(Rules!$B$3&lt;&gt;"",F970="Held at customs",H970&gt;=Rules!$B$3),"customs &gt;= "&amp;Rules!$B$3&amp;" days",IF(H970&gt;=Rules!$B$2,"idle &gt;= "&amp;Rules!$B$2&amp;" days",""))))</f>
        <v/>
      </c>
      <c r="J970" s="5">
        <f>IF(I970="","",IF(F970="Address issue",0,COUNTIF($I$2:$I$1001,"address issue"))+COUNTIFS($I$2:$I$1001,"?*",$F$2:$F$1001,IF(F970="Address issue","Address issue","&lt;&gt;Address issue"),$H$2:$H$1001,"&gt;"&amp;H970)+1)</f>
        <v/>
      </c>
    </row>
    <row r="971">
      <c r="A971" s="11" t="n">
        <v>100970</v>
      </c>
      <c r="B971" s="11" t="inlineStr">
        <is>
          <t>Мексика</t>
        </is>
      </c>
      <c r="C971" s="11" t="inlineStr">
        <is>
          <t>SwiftParcel</t>
        </is>
      </c>
      <c r="D971" s="11" t="inlineStr">
        <is>
          <t>SP3290485</t>
        </is>
      </c>
      <c r="E971" s="12" t="n">
        <v>46296</v>
      </c>
      <c r="F971" s="11" t="inlineStr">
        <is>
          <t>Label created</t>
        </is>
      </c>
      <c r="G971" s="12" t="n">
        <v>46296</v>
      </c>
      <c r="H971" s="5">
        <f>IF(G971="","",Rules!$B$1-G971)</f>
        <v/>
      </c>
      <c r="I971" s="5">
        <f>IF(F971="Address issue","address issue",IF(OR(F971="Delivered",F971="Returned to sender",G971=""),"",IF(AND(Rules!$B$3&lt;&gt;"",F971="Held at customs",H971&gt;=Rules!$B$3),"customs &gt;= "&amp;Rules!$B$3&amp;" days",IF(H971&gt;=Rules!$B$2,"idle &gt;= "&amp;Rules!$B$2&amp;" days",""))))</f>
        <v/>
      </c>
      <c r="J971" s="5">
        <f>IF(I971="","",IF(F971="Address issue",0,COUNTIF($I$2:$I$1001,"address issue"))+COUNTIFS($I$2:$I$1001,"?*",$F$2:$F$1001,IF(F971="Address issue","Address issue","&lt;&gt;Address issue"),$H$2:$H$1001,"&gt;"&amp;H971)+1)</f>
        <v/>
      </c>
    </row>
    <row r="972">
      <c r="A972" s="11" t="n">
        <v>100971</v>
      </c>
      <c r="B972" s="11" t="inlineStr">
        <is>
          <t>Мексика</t>
        </is>
      </c>
      <c r="C972" s="11" t="inlineStr">
        <is>
          <t>AndesCargo</t>
        </is>
      </c>
      <c r="D972" s="11" t="inlineStr">
        <is>
          <t>AC90939403</t>
        </is>
      </c>
      <c r="E972" s="12" t="n">
        <v>46277</v>
      </c>
      <c r="F972" s="11" t="inlineStr">
        <is>
          <t>Delivered</t>
        </is>
      </c>
      <c r="G972" s="12" t="n">
        <v>46283</v>
      </c>
      <c r="H972" s="5">
        <f>IF(G972="","",Rules!$B$1-G972)</f>
        <v/>
      </c>
      <c r="I972" s="5">
        <f>IF(F972="Address issue","address issue",IF(OR(F972="Delivered",F972="Returned to sender",G972=""),"",IF(AND(Rules!$B$3&lt;&gt;"",F972="Held at customs",H972&gt;=Rules!$B$3),"customs &gt;= "&amp;Rules!$B$3&amp;" days",IF(H972&gt;=Rules!$B$2,"idle &gt;= "&amp;Rules!$B$2&amp;" days",""))))</f>
        <v/>
      </c>
      <c r="J972" s="5">
        <f>IF(I972="","",IF(F972="Address issue",0,COUNTIF($I$2:$I$1001,"address issue"))+COUNTIFS($I$2:$I$1001,"?*",$F$2:$F$1001,IF(F972="Address issue","Address issue","&lt;&gt;Address issue"),$H$2:$H$1001,"&gt;"&amp;H972)+1)</f>
        <v/>
      </c>
    </row>
    <row r="973">
      <c r="A973" s="11" t="n">
        <v>100972</v>
      </c>
      <c r="B973" s="11" t="inlineStr">
        <is>
          <t>Бразилія</t>
        </is>
      </c>
      <c r="C973" s="11" t="inlineStr">
        <is>
          <t>SwiftParcel</t>
        </is>
      </c>
      <c r="D973" s="11" t="inlineStr">
        <is>
          <t>SP9345322</t>
        </is>
      </c>
      <c r="E973" s="12" t="n">
        <v>46297</v>
      </c>
      <c r="F973" s="11" t="inlineStr">
        <is>
          <t>Delivered</t>
        </is>
      </c>
      <c r="G973" s="12" t="n">
        <v>46302</v>
      </c>
      <c r="H973" s="5">
        <f>IF(G973="","",Rules!$B$1-G973)</f>
        <v/>
      </c>
      <c r="I973" s="5">
        <f>IF(F973="Address issue","address issue",IF(OR(F973="Delivered",F973="Returned to sender",G973=""),"",IF(AND(Rules!$B$3&lt;&gt;"",F973="Held at customs",H973&gt;=Rules!$B$3),"customs &gt;= "&amp;Rules!$B$3&amp;" days",IF(H973&gt;=Rules!$B$2,"idle &gt;= "&amp;Rules!$B$2&amp;" days",""))))</f>
        <v/>
      </c>
      <c r="J973" s="5">
        <f>IF(I973="","",IF(F973="Address issue",0,COUNTIF($I$2:$I$1001,"address issue"))+COUNTIFS($I$2:$I$1001,"?*",$F$2:$F$1001,IF(F973="Address issue","Address issue","&lt;&gt;Address issue"),$H$2:$H$1001,"&gt;"&amp;H973)+1)</f>
        <v/>
      </c>
    </row>
    <row r="974">
      <c r="A974" s="11" t="n">
        <v>100973</v>
      </c>
      <c r="B974" s="11" t="inlineStr">
        <is>
          <t>Бразилія</t>
        </is>
      </c>
      <c r="C974" s="11" t="inlineStr">
        <is>
          <t>SwiftParcel</t>
        </is>
      </c>
      <c r="D974" s="11" t="inlineStr">
        <is>
          <t>SP3604543</t>
        </is>
      </c>
      <c r="E974" s="12" t="n">
        <v>46302</v>
      </c>
      <c r="F974" s="11" t="inlineStr">
        <is>
          <t>Held at customs</t>
        </is>
      </c>
      <c r="G974" s="12" t="n">
        <v>46303</v>
      </c>
      <c r="H974" s="5">
        <f>IF(G974="","",Rules!$B$1-G974)</f>
        <v/>
      </c>
      <c r="I974" s="5">
        <f>IF(F974="Address issue","address issue",IF(OR(F974="Delivered",F974="Returned to sender",G974=""),"",IF(AND(Rules!$B$3&lt;&gt;"",F974="Held at customs",H974&gt;=Rules!$B$3),"customs &gt;= "&amp;Rules!$B$3&amp;" days",IF(H974&gt;=Rules!$B$2,"idle &gt;= "&amp;Rules!$B$2&amp;" days",""))))</f>
        <v/>
      </c>
      <c r="J974" s="5">
        <f>IF(I974="","",IF(F974="Address issue",0,COUNTIF($I$2:$I$1001,"address issue"))+COUNTIFS($I$2:$I$1001,"?*",$F$2:$F$1001,IF(F974="Address issue","Address issue","&lt;&gt;Address issue"),$H$2:$H$1001,"&gt;"&amp;H974)+1)</f>
        <v/>
      </c>
    </row>
    <row r="975">
      <c r="A975" s="11" t="n">
        <v>100974</v>
      </c>
      <c r="B975" s="11" t="inlineStr">
        <is>
          <t>Мексика</t>
        </is>
      </c>
      <c r="C975" s="11" t="inlineStr">
        <is>
          <t>AndesCargo</t>
        </is>
      </c>
      <c r="D975" s="11" t="inlineStr">
        <is>
          <t>AC96933639</t>
        </is>
      </c>
      <c r="E975" s="13" t="n">
        <v>46307</v>
      </c>
      <c r="F975" s="11" t="inlineStr">
        <is>
          <t>Out for delivery</t>
        </is>
      </c>
      <c r="G975" s="13" t="n">
        <v>46310</v>
      </c>
      <c r="H975" s="5">
        <f>IF(G975="","",Rules!$B$1-G975)</f>
        <v/>
      </c>
      <c r="I975" s="5">
        <f>IF(F975="Address issue","address issue",IF(OR(F975="Delivered",F975="Returned to sender",G975=""),"",IF(AND(Rules!$B$3&lt;&gt;"",F975="Held at customs",H975&gt;=Rules!$B$3),"customs &gt;= "&amp;Rules!$B$3&amp;" days",IF(H975&gt;=Rules!$B$2,"idle &gt;= "&amp;Rules!$B$2&amp;" days",""))))</f>
        <v/>
      </c>
      <c r="J975" s="5">
        <f>IF(I975="","",IF(F975="Address issue",0,COUNTIF($I$2:$I$1001,"address issue"))+COUNTIFS($I$2:$I$1001,"?*",$F$2:$F$1001,IF(F975="Address issue","Address issue","&lt;&gt;Address issue"),$H$2:$H$1001,"&gt;"&amp;H975)+1)</f>
        <v/>
      </c>
    </row>
    <row r="976">
      <c r="A976" s="11" t="n">
        <v>100975</v>
      </c>
      <c r="B976" s="11" t="inlineStr">
        <is>
          <t>Канада</t>
        </is>
      </c>
      <c r="C976" s="11" t="inlineStr">
        <is>
          <t>PostLink</t>
        </is>
      </c>
      <c r="D976" s="11" t="inlineStr">
        <is>
          <t>PL48274815</t>
        </is>
      </c>
      <c r="E976" s="12" t="n">
        <v>46277</v>
      </c>
      <c r="F976" s="11" t="inlineStr">
        <is>
          <t>Delivered</t>
        </is>
      </c>
      <c r="G976" s="12" t="n">
        <v>46282</v>
      </c>
      <c r="H976" s="5">
        <f>IF(G976="","",Rules!$B$1-G976)</f>
        <v/>
      </c>
      <c r="I976" s="5">
        <f>IF(F976="Address issue","address issue",IF(OR(F976="Delivered",F976="Returned to sender",G976=""),"",IF(AND(Rules!$B$3&lt;&gt;"",F976="Held at customs",H976&gt;=Rules!$B$3),"customs &gt;= "&amp;Rules!$B$3&amp;" days",IF(H976&gt;=Rules!$B$2,"idle &gt;= "&amp;Rules!$B$2&amp;" days",""))))</f>
        <v/>
      </c>
      <c r="J976" s="5">
        <f>IF(I976="","",IF(F976="Address issue",0,COUNTIF($I$2:$I$1001,"address issue"))+COUNTIFS($I$2:$I$1001,"?*",$F$2:$F$1001,IF(F976="Address issue","Address issue","&lt;&gt;Address issue"),$H$2:$H$1001,"&gt;"&amp;H976)+1)</f>
        <v/>
      </c>
    </row>
    <row r="977">
      <c r="A977" s="11" t="n">
        <v>100976</v>
      </c>
      <c r="B977" s="11" t="inlineStr">
        <is>
          <t>Канада</t>
        </is>
      </c>
      <c r="C977" s="11" t="inlineStr">
        <is>
          <t>PostLink</t>
        </is>
      </c>
      <c r="D977" s="11" t="inlineStr">
        <is>
          <t>PL70203155</t>
        </is>
      </c>
      <c r="E977" s="12" t="n">
        <v>46304</v>
      </c>
      <c r="F977" s="11" t="inlineStr">
        <is>
          <t>Out for delivery</t>
        </is>
      </c>
      <c r="G977" s="13" t="n">
        <v>46309</v>
      </c>
      <c r="H977" s="5">
        <f>IF(G977="","",Rules!$B$1-G977)</f>
        <v/>
      </c>
      <c r="I977" s="5">
        <f>IF(F977="Address issue","address issue",IF(OR(F977="Delivered",F977="Returned to sender",G977=""),"",IF(AND(Rules!$B$3&lt;&gt;"",F977="Held at customs",H977&gt;=Rules!$B$3),"customs &gt;= "&amp;Rules!$B$3&amp;" days",IF(H977&gt;=Rules!$B$2,"idle &gt;= "&amp;Rules!$B$2&amp;" days",""))))</f>
        <v/>
      </c>
      <c r="J977" s="5">
        <f>IF(I977="","",IF(F977="Address issue",0,COUNTIF($I$2:$I$1001,"address issue"))+COUNTIFS($I$2:$I$1001,"?*",$F$2:$F$1001,IF(F977="Address issue","Address issue","&lt;&gt;Address issue"),$H$2:$H$1001,"&gt;"&amp;H977)+1)</f>
        <v/>
      </c>
    </row>
    <row r="978">
      <c r="A978" s="11" t="n">
        <v>100977</v>
      </c>
      <c r="B978" s="11" t="inlineStr">
        <is>
          <t>Бразилія</t>
        </is>
      </c>
      <c r="C978" s="11" t="inlineStr">
        <is>
          <t>SwiftParcel</t>
        </is>
      </c>
      <c r="D978" s="11" t="inlineStr">
        <is>
          <t>SP6498500</t>
        </is>
      </c>
      <c r="E978" s="12" t="n">
        <v>46302</v>
      </c>
      <c r="F978" s="11" t="inlineStr">
        <is>
          <t>In transit</t>
        </is>
      </c>
      <c r="G978" s="13" t="n">
        <v>46309</v>
      </c>
      <c r="H978" s="5">
        <f>IF(G978="","",Rules!$B$1-G978)</f>
        <v/>
      </c>
      <c r="I978" s="5">
        <f>IF(F978="Address issue","address issue",IF(OR(F978="Delivered",F978="Returned to sender",G978=""),"",IF(AND(Rules!$B$3&lt;&gt;"",F978="Held at customs",H978&gt;=Rules!$B$3),"customs &gt;= "&amp;Rules!$B$3&amp;" days",IF(H978&gt;=Rules!$B$2,"idle &gt;= "&amp;Rules!$B$2&amp;" days",""))))</f>
        <v/>
      </c>
      <c r="J978" s="5">
        <f>IF(I978="","",IF(F978="Address issue",0,COUNTIF($I$2:$I$1001,"address issue"))+COUNTIFS($I$2:$I$1001,"?*",$F$2:$F$1001,IF(F978="Address issue","Address issue","&lt;&gt;Address issue"),$H$2:$H$1001,"&gt;"&amp;H978)+1)</f>
        <v/>
      </c>
    </row>
    <row r="979">
      <c r="A979" s="11" t="n">
        <v>100978</v>
      </c>
      <c r="B979" s="11" t="inlineStr">
        <is>
          <t>Бразилія</t>
        </is>
      </c>
      <c r="C979" s="11" t="inlineStr">
        <is>
          <t>AndesCargo</t>
        </is>
      </c>
      <c r="D979" s="11" t="inlineStr">
        <is>
          <t>AC21860932</t>
        </is>
      </c>
      <c r="E979" s="12" t="n">
        <v>46298</v>
      </c>
      <c r="F979" s="11" t="inlineStr">
        <is>
          <t>In transit</t>
        </is>
      </c>
      <c r="G979" s="13" t="n">
        <v>46305</v>
      </c>
      <c r="H979" s="5">
        <f>IF(G979="","",Rules!$B$1-G979)</f>
        <v/>
      </c>
      <c r="I979" s="5">
        <f>IF(F979="Address issue","address issue",IF(OR(F979="Delivered",F979="Returned to sender",G979=""),"",IF(AND(Rules!$B$3&lt;&gt;"",F979="Held at customs",H979&gt;=Rules!$B$3),"customs &gt;= "&amp;Rules!$B$3&amp;" days",IF(H979&gt;=Rules!$B$2,"idle &gt;= "&amp;Rules!$B$2&amp;" days",""))))</f>
        <v/>
      </c>
      <c r="J979" s="5">
        <f>IF(I979="","",IF(F979="Address issue",0,COUNTIF($I$2:$I$1001,"address issue"))+COUNTIFS($I$2:$I$1001,"?*",$F$2:$F$1001,IF(F979="Address issue","Address issue","&lt;&gt;Address issue"),$H$2:$H$1001,"&gt;"&amp;H979)+1)</f>
        <v/>
      </c>
    </row>
    <row r="980">
      <c r="A980" s="11" t="n">
        <v>100979</v>
      </c>
      <c r="B980" s="11" t="inlineStr">
        <is>
          <t>Мексика</t>
        </is>
      </c>
      <c r="C980" s="11" t="inlineStr">
        <is>
          <t>AndesCargo</t>
        </is>
      </c>
      <c r="D980" s="11" t="inlineStr">
        <is>
          <t>AC34264801</t>
        </is>
      </c>
      <c r="E980" s="12" t="n">
        <v>46275</v>
      </c>
      <c r="F980" s="11" t="inlineStr">
        <is>
          <t>Delivered</t>
        </is>
      </c>
      <c r="G980" s="12" t="n">
        <v>46282</v>
      </c>
      <c r="H980" s="5">
        <f>IF(G980="","",Rules!$B$1-G980)</f>
        <v/>
      </c>
      <c r="I980" s="5">
        <f>IF(F980="Address issue","address issue",IF(OR(F980="Delivered",F980="Returned to sender",G980=""),"",IF(AND(Rules!$B$3&lt;&gt;"",F980="Held at customs",H980&gt;=Rules!$B$3),"customs &gt;= "&amp;Rules!$B$3&amp;" days",IF(H980&gt;=Rules!$B$2,"idle &gt;= "&amp;Rules!$B$2&amp;" days",""))))</f>
        <v/>
      </c>
      <c r="J980" s="5">
        <f>IF(I980="","",IF(F980="Address issue",0,COUNTIF($I$2:$I$1001,"address issue"))+COUNTIFS($I$2:$I$1001,"?*",$F$2:$F$1001,IF(F980="Address issue","Address issue","&lt;&gt;Address issue"),$H$2:$H$1001,"&gt;"&amp;H980)+1)</f>
        <v/>
      </c>
    </row>
    <row r="981">
      <c r="A981" s="11" t="n">
        <v>100980</v>
      </c>
      <c r="B981" s="11" t="inlineStr">
        <is>
          <t>Канада</t>
        </is>
      </c>
      <c r="C981" s="11" t="inlineStr">
        <is>
          <t>PostLink</t>
        </is>
      </c>
      <c r="D981" s="11" t="inlineStr">
        <is>
          <t>PL56610204</t>
        </is>
      </c>
      <c r="E981" s="12" t="n">
        <v>46291</v>
      </c>
      <c r="F981" s="11" t="inlineStr">
        <is>
          <t>Delivered</t>
        </is>
      </c>
      <c r="G981" s="12" t="n">
        <v>46299</v>
      </c>
      <c r="H981" s="5">
        <f>IF(G981="","",Rules!$B$1-G981)</f>
        <v/>
      </c>
      <c r="I981" s="5">
        <f>IF(F981="Address issue","address issue",IF(OR(F981="Delivered",F981="Returned to sender",G981=""),"",IF(AND(Rules!$B$3&lt;&gt;"",F981="Held at customs",H981&gt;=Rules!$B$3),"customs &gt;= "&amp;Rules!$B$3&amp;" days",IF(H981&gt;=Rules!$B$2,"idle &gt;= "&amp;Rules!$B$2&amp;" days",""))))</f>
        <v/>
      </c>
      <c r="J981" s="5">
        <f>IF(I981="","",IF(F981="Address issue",0,COUNTIF($I$2:$I$1001,"address issue"))+COUNTIFS($I$2:$I$1001,"?*",$F$2:$F$1001,IF(F981="Address issue","Address issue","&lt;&gt;Address issue"),$H$2:$H$1001,"&gt;"&amp;H981)+1)</f>
        <v/>
      </c>
    </row>
    <row r="982">
      <c r="A982" s="11" t="n">
        <v>100981</v>
      </c>
      <c r="B982" s="11" t="inlineStr">
        <is>
          <t>Канада</t>
        </is>
      </c>
      <c r="C982" s="11" t="inlineStr">
        <is>
          <t>PostLink</t>
        </is>
      </c>
      <c r="D982" s="11" t="inlineStr">
        <is>
          <t>PL39217453</t>
        </is>
      </c>
      <c r="E982" s="12" t="n">
        <v>46270</v>
      </c>
      <c r="F982" s="11" t="inlineStr">
        <is>
          <t>Delivered</t>
        </is>
      </c>
      <c r="G982" s="12" t="n">
        <v>46281</v>
      </c>
      <c r="H982" s="5">
        <f>IF(G982="","",Rules!$B$1-G982)</f>
        <v/>
      </c>
      <c r="I982" s="5">
        <f>IF(F982="Address issue","address issue",IF(OR(F982="Delivered",F982="Returned to sender",G982=""),"",IF(AND(Rules!$B$3&lt;&gt;"",F982="Held at customs",H982&gt;=Rules!$B$3),"customs &gt;= "&amp;Rules!$B$3&amp;" days",IF(H982&gt;=Rules!$B$2,"idle &gt;= "&amp;Rules!$B$2&amp;" days",""))))</f>
        <v/>
      </c>
      <c r="J982" s="5">
        <f>IF(I982="","",IF(F982="Address issue",0,COUNTIF($I$2:$I$1001,"address issue"))+COUNTIFS($I$2:$I$1001,"?*",$F$2:$F$1001,IF(F982="Address issue","Address issue","&lt;&gt;Address issue"),$H$2:$H$1001,"&gt;"&amp;H982)+1)</f>
        <v/>
      </c>
    </row>
    <row r="983">
      <c r="A983" s="11" t="n">
        <v>100982</v>
      </c>
      <c r="B983" s="11" t="inlineStr">
        <is>
          <t>Мексика</t>
        </is>
      </c>
      <c r="C983" s="11" t="inlineStr">
        <is>
          <t>AndesCargo</t>
        </is>
      </c>
      <c r="D983" s="11" t="inlineStr">
        <is>
          <t>AC42199294</t>
        </is>
      </c>
      <c r="E983" s="12" t="n">
        <v>46300</v>
      </c>
      <c r="F983" s="11" t="inlineStr">
        <is>
          <t>Delivered</t>
        </is>
      </c>
      <c r="G983" s="12" t="n">
        <v>46297</v>
      </c>
      <c r="H983" s="5">
        <f>IF(G983="","",Rules!$B$1-G983)</f>
        <v/>
      </c>
      <c r="I983" s="5">
        <f>IF(F983="Address issue","address issue",IF(OR(F983="Delivered",F983="Returned to sender",G983=""),"",IF(AND(Rules!$B$3&lt;&gt;"",F983="Held at customs",H983&gt;=Rules!$B$3),"customs &gt;= "&amp;Rules!$B$3&amp;" days",IF(H983&gt;=Rules!$B$2,"idle &gt;= "&amp;Rules!$B$2&amp;" days",""))))</f>
        <v/>
      </c>
      <c r="J983" s="5">
        <f>IF(I983="","",IF(F983="Address issue",0,COUNTIF($I$2:$I$1001,"address issue"))+COUNTIFS($I$2:$I$1001,"?*",$F$2:$F$1001,IF(F983="Address issue","Address issue","&lt;&gt;Address issue"),$H$2:$H$1001,"&gt;"&amp;H983)+1)</f>
        <v/>
      </c>
    </row>
    <row r="984">
      <c r="A984" s="11" t="n">
        <v>100983</v>
      </c>
      <c r="B984" s="11" t="inlineStr">
        <is>
          <t>Бразилія</t>
        </is>
      </c>
      <c r="C984" s="11" t="inlineStr">
        <is>
          <t>SwiftParcel</t>
        </is>
      </c>
      <c r="D984" s="11" t="inlineStr">
        <is>
          <t>SP6611212</t>
        </is>
      </c>
      <c r="E984" s="12" t="n">
        <v>46272</v>
      </c>
      <c r="F984" s="11" t="inlineStr">
        <is>
          <t>Delivered</t>
        </is>
      </c>
      <c r="G984" s="12" t="n">
        <v>46282</v>
      </c>
      <c r="H984" s="5">
        <f>IF(G984="","",Rules!$B$1-G984)</f>
        <v/>
      </c>
      <c r="I984" s="5">
        <f>IF(F984="Address issue","address issue",IF(OR(F984="Delivered",F984="Returned to sender",G984=""),"",IF(AND(Rules!$B$3&lt;&gt;"",F984="Held at customs",H984&gt;=Rules!$B$3),"customs &gt;= "&amp;Rules!$B$3&amp;" days",IF(H984&gt;=Rules!$B$2,"idle &gt;= "&amp;Rules!$B$2&amp;" days",""))))</f>
        <v/>
      </c>
      <c r="J984" s="5">
        <f>IF(I984="","",IF(F984="Address issue",0,COUNTIF($I$2:$I$1001,"address issue"))+COUNTIFS($I$2:$I$1001,"?*",$F$2:$F$1001,IF(F984="Address issue","Address issue","&lt;&gt;Address issue"),$H$2:$H$1001,"&gt;"&amp;H984)+1)</f>
        <v/>
      </c>
    </row>
    <row r="985">
      <c r="A985" s="11" t="n">
        <v>100984</v>
      </c>
      <c r="B985" s="11" t="inlineStr">
        <is>
          <t>Мексика</t>
        </is>
      </c>
      <c r="C985" s="11" t="inlineStr">
        <is>
          <t>AndesCargo</t>
        </is>
      </c>
      <c r="D985" s="11" t="inlineStr">
        <is>
          <t>AC75485423</t>
        </is>
      </c>
      <c r="E985" s="12" t="n">
        <v>46300</v>
      </c>
      <c r="F985" s="11" t="inlineStr">
        <is>
          <t>Delivered</t>
        </is>
      </c>
      <c r="G985" s="13" t="n">
        <v>46310</v>
      </c>
      <c r="H985" s="5">
        <f>IF(G985="","",Rules!$B$1-G985)</f>
        <v/>
      </c>
      <c r="I985" s="5">
        <f>IF(F985="Address issue","address issue",IF(OR(F985="Delivered",F985="Returned to sender",G985=""),"",IF(AND(Rules!$B$3&lt;&gt;"",F985="Held at customs",H985&gt;=Rules!$B$3),"customs &gt;= "&amp;Rules!$B$3&amp;" days",IF(H985&gt;=Rules!$B$2,"idle &gt;= "&amp;Rules!$B$2&amp;" days",""))))</f>
        <v/>
      </c>
      <c r="J985" s="5">
        <f>IF(I985="","",IF(F985="Address issue",0,COUNTIF($I$2:$I$1001,"address issue"))+COUNTIFS($I$2:$I$1001,"?*",$F$2:$F$1001,IF(F985="Address issue","Address issue","&lt;&gt;Address issue"),$H$2:$H$1001,"&gt;"&amp;H985)+1)</f>
        <v/>
      </c>
    </row>
    <row r="986">
      <c r="A986" s="11" t="n">
        <v>100985</v>
      </c>
      <c r="B986" s="11" t="inlineStr">
        <is>
          <t>Бразилія</t>
        </is>
      </c>
      <c r="C986" s="11" t="inlineStr">
        <is>
          <t>AndesCargo</t>
        </is>
      </c>
      <c r="D986" s="11" t="inlineStr">
        <is>
          <t>AC48357312</t>
        </is>
      </c>
      <c r="E986" s="12" t="n">
        <v>46293</v>
      </c>
      <c r="F986" s="11" t="inlineStr">
        <is>
          <t>Delivered</t>
        </is>
      </c>
      <c r="G986" s="12" t="n">
        <v>46298</v>
      </c>
      <c r="H986" s="5">
        <f>IF(G986="","",Rules!$B$1-G986)</f>
        <v/>
      </c>
      <c r="I986" s="5">
        <f>IF(F986="Address issue","address issue",IF(OR(F986="Delivered",F986="Returned to sender",G986=""),"",IF(AND(Rules!$B$3&lt;&gt;"",F986="Held at customs",H986&gt;=Rules!$B$3),"customs &gt;= "&amp;Rules!$B$3&amp;" days",IF(H986&gt;=Rules!$B$2,"idle &gt;= "&amp;Rules!$B$2&amp;" days",""))))</f>
        <v/>
      </c>
      <c r="J986" s="5">
        <f>IF(I986="","",IF(F986="Address issue",0,COUNTIF($I$2:$I$1001,"address issue"))+COUNTIFS($I$2:$I$1001,"?*",$F$2:$F$1001,IF(F986="Address issue","Address issue","&lt;&gt;Address issue"),$H$2:$H$1001,"&gt;"&amp;H986)+1)</f>
        <v/>
      </c>
    </row>
    <row r="987">
      <c r="A987" s="11" t="n">
        <v>100986</v>
      </c>
      <c r="B987" s="11" t="inlineStr">
        <is>
          <t>Канада</t>
        </is>
      </c>
      <c r="C987" s="11" t="inlineStr">
        <is>
          <t>PostLink</t>
        </is>
      </c>
      <c r="D987" s="11" t="inlineStr">
        <is>
          <t>PL63586561</t>
        </is>
      </c>
      <c r="E987" s="12" t="n">
        <v>46271</v>
      </c>
      <c r="F987" s="11" t="inlineStr">
        <is>
          <t>Delivered</t>
        </is>
      </c>
      <c r="G987" s="12" t="n">
        <v>46283</v>
      </c>
      <c r="H987" s="5">
        <f>IF(G987="","",Rules!$B$1-G987)</f>
        <v/>
      </c>
      <c r="I987" s="5">
        <f>IF(F987="Address issue","address issue",IF(OR(F987="Delivered",F987="Returned to sender",G987=""),"",IF(AND(Rules!$B$3&lt;&gt;"",F987="Held at customs",H987&gt;=Rules!$B$3),"customs &gt;= "&amp;Rules!$B$3&amp;" days",IF(H987&gt;=Rules!$B$2,"idle &gt;= "&amp;Rules!$B$2&amp;" days",""))))</f>
        <v/>
      </c>
      <c r="J987" s="5">
        <f>IF(I987="","",IF(F987="Address issue",0,COUNTIF($I$2:$I$1001,"address issue"))+COUNTIFS($I$2:$I$1001,"?*",$F$2:$F$1001,IF(F987="Address issue","Address issue","&lt;&gt;Address issue"),$H$2:$H$1001,"&gt;"&amp;H987)+1)</f>
        <v/>
      </c>
    </row>
    <row r="988">
      <c r="A988" s="11" t="n">
        <v>100987</v>
      </c>
      <c r="B988" s="11" t="inlineStr">
        <is>
          <t>Мексика</t>
        </is>
      </c>
      <c r="C988" s="11" t="inlineStr">
        <is>
          <t>AndesCargo</t>
        </is>
      </c>
      <c r="D988" s="11" t="inlineStr">
        <is>
          <t>AC58651765</t>
        </is>
      </c>
      <c r="E988" s="12" t="n">
        <v>46301</v>
      </c>
      <c r="F988" s="11" t="inlineStr">
        <is>
          <t>In transit</t>
        </is>
      </c>
      <c r="G988" s="13" t="n">
        <v>46307</v>
      </c>
      <c r="H988" s="5">
        <f>IF(G988="","",Rules!$B$1-G988)</f>
        <v/>
      </c>
      <c r="I988" s="5">
        <f>IF(F988="Address issue","address issue",IF(OR(F988="Delivered",F988="Returned to sender",G988=""),"",IF(AND(Rules!$B$3&lt;&gt;"",F988="Held at customs",H988&gt;=Rules!$B$3),"customs &gt;= "&amp;Rules!$B$3&amp;" days",IF(H988&gt;=Rules!$B$2,"idle &gt;= "&amp;Rules!$B$2&amp;" days",""))))</f>
        <v/>
      </c>
      <c r="J988" s="5">
        <f>IF(I988="","",IF(F988="Address issue",0,COUNTIF($I$2:$I$1001,"address issue"))+COUNTIFS($I$2:$I$1001,"?*",$F$2:$F$1001,IF(F988="Address issue","Address issue","&lt;&gt;Address issue"),$H$2:$H$1001,"&gt;"&amp;H988)+1)</f>
        <v/>
      </c>
    </row>
    <row r="989">
      <c r="A989" s="11" t="n">
        <v>100988</v>
      </c>
      <c r="B989" s="11" t="inlineStr">
        <is>
          <t>Бразилія</t>
        </is>
      </c>
      <c r="C989" s="11" t="inlineStr">
        <is>
          <t>SwiftParcel</t>
        </is>
      </c>
      <c r="D989" s="11" t="inlineStr">
        <is>
          <t>SP9703411</t>
        </is>
      </c>
      <c r="E989" s="12" t="n">
        <v>46280</v>
      </c>
      <c r="F989" s="11" t="inlineStr">
        <is>
          <t>Delivered</t>
        </is>
      </c>
      <c r="G989" s="12" t="n">
        <v>46283</v>
      </c>
      <c r="H989" s="5">
        <f>IF(G989="","",Rules!$B$1-G989)</f>
        <v/>
      </c>
      <c r="I989" s="5">
        <f>IF(F989="Address issue","address issue",IF(OR(F989="Delivered",F989="Returned to sender",G989=""),"",IF(AND(Rules!$B$3&lt;&gt;"",F989="Held at customs",H989&gt;=Rules!$B$3),"customs &gt;= "&amp;Rules!$B$3&amp;" days",IF(H989&gt;=Rules!$B$2,"idle &gt;= "&amp;Rules!$B$2&amp;" days",""))))</f>
        <v/>
      </c>
      <c r="J989" s="5">
        <f>IF(I989="","",IF(F989="Address issue",0,COUNTIF($I$2:$I$1001,"address issue"))+COUNTIFS($I$2:$I$1001,"?*",$F$2:$F$1001,IF(F989="Address issue","Address issue","&lt;&gt;Address issue"),$H$2:$H$1001,"&gt;"&amp;H989)+1)</f>
        <v/>
      </c>
    </row>
    <row r="990">
      <c r="A990" s="11" t="n">
        <v>100989</v>
      </c>
      <c r="B990" s="11" t="inlineStr">
        <is>
          <t>Мексика</t>
        </is>
      </c>
      <c r="C990" s="11" t="inlineStr">
        <is>
          <t>SwiftParcel</t>
        </is>
      </c>
      <c r="D990" s="11" t="inlineStr">
        <is>
          <t>SP8927210</t>
        </is>
      </c>
      <c r="E990" s="12" t="n">
        <v>46301</v>
      </c>
      <c r="F990" s="11" t="inlineStr">
        <is>
          <t>Delivered</t>
        </is>
      </c>
      <c r="G990" s="13" t="n">
        <v>46309</v>
      </c>
      <c r="H990" s="5">
        <f>IF(G990="","",Rules!$B$1-G990)</f>
        <v/>
      </c>
      <c r="I990" s="5">
        <f>IF(F990="Address issue","address issue",IF(OR(F990="Delivered",F990="Returned to sender",G990=""),"",IF(AND(Rules!$B$3&lt;&gt;"",F990="Held at customs",H990&gt;=Rules!$B$3),"customs &gt;= "&amp;Rules!$B$3&amp;" days",IF(H990&gt;=Rules!$B$2,"idle &gt;= "&amp;Rules!$B$2&amp;" days",""))))</f>
        <v/>
      </c>
      <c r="J990" s="5">
        <f>IF(I990="","",IF(F990="Address issue",0,COUNTIF($I$2:$I$1001,"address issue"))+COUNTIFS($I$2:$I$1001,"?*",$F$2:$F$1001,IF(F990="Address issue","Address issue","&lt;&gt;Address issue"),$H$2:$H$1001,"&gt;"&amp;H990)+1)</f>
        <v/>
      </c>
    </row>
    <row r="991">
      <c r="A991" s="11" t="n">
        <v>100990</v>
      </c>
      <c r="B991" s="11" t="inlineStr">
        <is>
          <t>Бразилія</t>
        </is>
      </c>
      <c r="C991" s="11" t="inlineStr">
        <is>
          <t>SwiftParcel</t>
        </is>
      </c>
      <c r="D991" s="11" t="inlineStr">
        <is>
          <t>SP1583325</t>
        </is>
      </c>
      <c r="E991" s="12" t="n">
        <v>46298</v>
      </c>
      <c r="F991" s="11" t="inlineStr">
        <is>
          <t>Held at customs</t>
        </is>
      </c>
      <c r="G991" s="12" t="n">
        <v>46299</v>
      </c>
      <c r="H991" s="5">
        <f>IF(G991="","",Rules!$B$1-G991)</f>
        <v/>
      </c>
      <c r="I991" s="5">
        <f>IF(F991="Address issue","address issue",IF(OR(F991="Delivered",F991="Returned to sender",G991=""),"",IF(AND(Rules!$B$3&lt;&gt;"",F991="Held at customs",H991&gt;=Rules!$B$3),"customs &gt;= "&amp;Rules!$B$3&amp;" days",IF(H991&gt;=Rules!$B$2,"idle &gt;= "&amp;Rules!$B$2&amp;" days",""))))</f>
        <v/>
      </c>
      <c r="J991" s="5">
        <f>IF(I991="","",IF(F991="Address issue",0,COUNTIF($I$2:$I$1001,"address issue"))+COUNTIFS($I$2:$I$1001,"?*",$F$2:$F$1001,IF(F991="Address issue","Address issue","&lt;&gt;Address issue"),$H$2:$H$1001,"&gt;"&amp;H991)+1)</f>
        <v/>
      </c>
    </row>
    <row r="992">
      <c r="A992" s="11" t="n">
        <v>100991</v>
      </c>
      <c r="B992" s="11" t="inlineStr">
        <is>
          <t>Канада</t>
        </is>
      </c>
      <c r="C992" s="11" t="inlineStr">
        <is>
          <t>PostLink</t>
        </is>
      </c>
      <c r="D992" s="11" t="inlineStr">
        <is>
          <t>PL67622199</t>
        </is>
      </c>
      <c r="E992" s="12" t="n">
        <v>46295</v>
      </c>
      <c r="F992" s="11" t="inlineStr">
        <is>
          <t>Address issue</t>
        </is>
      </c>
      <c r="G992" s="12" t="n">
        <v>46303</v>
      </c>
      <c r="H992" s="5">
        <f>IF(G992="","",Rules!$B$1-G992)</f>
        <v/>
      </c>
      <c r="I992" s="5">
        <f>IF(F992="Address issue","address issue",IF(OR(F992="Delivered",F992="Returned to sender",G992=""),"",IF(AND(Rules!$B$3&lt;&gt;"",F992="Held at customs",H992&gt;=Rules!$B$3),"customs &gt;= "&amp;Rules!$B$3&amp;" days",IF(H992&gt;=Rules!$B$2,"idle &gt;= "&amp;Rules!$B$2&amp;" days",""))))</f>
        <v/>
      </c>
      <c r="J992" s="5">
        <f>IF(I992="","",IF(F992="Address issue",0,COUNTIF($I$2:$I$1001,"address issue"))+COUNTIFS($I$2:$I$1001,"?*",$F$2:$F$1001,IF(F992="Address issue","Address issue","&lt;&gt;Address issue"),$H$2:$H$1001,"&gt;"&amp;H992)+1)</f>
        <v/>
      </c>
    </row>
    <row r="993">
      <c r="A993" s="11" t="n">
        <v>100992</v>
      </c>
      <c r="B993" s="11" t="inlineStr">
        <is>
          <t>Бразилія</t>
        </is>
      </c>
      <c r="C993" s="11" t="inlineStr">
        <is>
          <t>SwiftParcel</t>
        </is>
      </c>
      <c r="D993" s="11" t="inlineStr">
        <is>
          <t>SP6107184</t>
        </is>
      </c>
      <c r="E993" s="12" t="n">
        <v>46296</v>
      </c>
      <c r="F993" s="11" t="inlineStr">
        <is>
          <t>Delivered</t>
        </is>
      </c>
      <c r="G993" s="12" t="n">
        <v>46303</v>
      </c>
      <c r="H993" s="5">
        <f>IF(G993="","",Rules!$B$1-G993)</f>
        <v/>
      </c>
      <c r="I993" s="5">
        <f>IF(F993="Address issue","address issue",IF(OR(F993="Delivered",F993="Returned to sender",G993=""),"",IF(AND(Rules!$B$3&lt;&gt;"",F993="Held at customs",H993&gt;=Rules!$B$3),"customs &gt;= "&amp;Rules!$B$3&amp;" days",IF(H993&gt;=Rules!$B$2,"idle &gt;= "&amp;Rules!$B$2&amp;" days",""))))</f>
        <v/>
      </c>
      <c r="J993" s="5">
        <f>IF(I993="","",IF(F993="Address issue",0,COUNTIF($I$2:$I$1001,"address issue"))+COUNTIFS($I$2:$I$1001,"?*",$F$2:$F$1001,IF(F993="Address issue","Address issue","&lt;&gt;Address issue"),$H$2:$H$1001,"&gt;"&amp;H993)+1)</f>
        <v/>
      </c>
    </row>
    <row r="994">
      <c r="A994" s="11" t="n">
        <v>100993</v>
      </c>
      <c r="B994" s="11" t="inlineStr">
        <is>
          <t>Мексика</t>
        </is>
      </c>
      <c r="C994" s="11" t="inlineStr">
        <is>
          <t>AndesCargo</t>
        </is>
      </c>
      <c r="D994" s="11" t="inlineStr">
        <is>
          <t>AC76546108</t>
        </is>
      </c>
      <c r="E994" s="12" t="n">
        <v>46290</v>
      </c>
      <c r="F994" s="11" t="inlineStr">
        <is>
          <t>Delivered</t>
        </is>
      </c>
      <c r="G994" s="12" t="n">
        <v>46297</v>
      </c>
      <c r="H994" s="5">
        <f>IF(G994="","",Rules!$B$1-G994)</f>
        <v/>
      </c>
      <c r="I994" s="5">
        <f>IF(F994="Address issue","address issue",IF(OR(F994="Delivered",F994="Returned to sender",G994=""),"",IF(AND(Rules!$B$3&lt;&gt;"",F994="Held at customs",H994&gt;=Rules!$B$3),"customs &gt;= "&amp;Rules!$B$3&amp;" days",IF(H994&gt;=Rules!$B$2,"idle &gt;= "&amp;Rules!$B$2&amp;" days",""))))</f>
        <v/>
      </c>
      <c r="J994" s="5">
        <f>IF(I994="","",IF(F994="Address issue",0,COUNTIF($I$2:$I$1001,"address issue"))+COUNTIFS($I$2:$I$1001,"?*",$F$2:$F$1001,IF(F994="Address issue","Address issue","&lt;&gt;Address issue"),$H$2:$H$1001,"&gt;"&amp;H994)+1)</f>
        <v/>
      </c>
    </row>
    <row r="995">
      <c r="A995" s="11" t="n">
        <v>100994</v>
      </c>
      <c r="B995" s="11" t="inlineStr">
        <is>
          <t>Мексика</t>
        </is>
      </c>
      <c r="C995" s="11" t="inlineStr">
        <is>
          <t>AndesCargo</t>
        </is>
      </c>
      <c r="D995" s="11" t="inlineStr">
        <is>
          <t>AC28632934</t>
        </is>
      </c>
      <c r="E995" s="12" t="n">
        <v>46297</v>
      </c>
      <c r="F995" s="11" t="inlineStr">
        <is>
          <t>In transit</t>
        </is>
      </c>
      <c r="G995" s="13" t="n">
        <v>46305</v>
      </c>
      <c r="H995" s="5">
        <f>IF(G995="","",Rules!$B$1-G995)</f>
        <v/>
      </c>
      <c r="I995" s="5">
        <f>IF(F995="Address issue","address issue",IF(OR(F995="Delivered",F995="Returned to sender",G995=""),"",IF(AND(Rules!$B$3&lt;&gt;"",F995="Held at customs",H995&gt;=Rules!$B$3),"customs &gt;= "&amp;Rules!$B$3&amp;" days",IF(H995&gt;=Rules!$B$2,"idle &gt;= "&amp;Rules!$B$2&amp;" days",""))))</f>
        <v/>
      </c>
      <c r="J995" s="5">
        <f>IF(I995="","",IF(F995="Address issue",0,COUNTIF($I$2:$I$1001,"address issue"))+COUNTIFS($I$2:$I$1001,"?*",$F$2:$F$1001,IF(F995="Address issue","Address issue","&lt;&gt;Address issue"),$H$2:$H$1001,"&gt;"&amp;H995)+1)</f>
        <v/>
      </c>
    </row>
    <row r="996">
      <c r="A996" s="11" t="n">
        <v>100995</v>
      </c>
      <c r="B996" s="11" t="inlineStr">
        <is>
          <t>Мексика</t>
        </is>
      </c>
      <c r="C996" s="11" t="inlineStr">
        <is>
          <t>AndesCargo</t>
        </is>
      </c>
      <c r="D996" s="11" t="inlineStr">
        <is>
          <t>AC14779813</t>
        </is>
      </c>
      <c r="E996" s="12" t="n">
        <v>46300</v>
      </c>
      <c r="F996" s="11" t="inlineStr">
        <is>
          <t>In transit</t>
        </is>
      </c>
      <c r="G996" s="13" t="n">
        <v>46306</v>
      </c>
      <c r="H996" s="5">
        <f>IF(G996="","",Rules!$B$1-G996)</f>
        <v/>
      </c>
      <c r="I996" s="5">
        <f>IF(F996="Address issue","address issue",IF(OR(F996="Delivered",F996="Returned to sender",G996=""),"",IF(AND(Rules!$B$3&lt;&gt;"",F996="Held at customs",H996&gt;=Rules!$B$3),"customs &gt;= "&amp;Rules!$B$3&amp;" days",IF(H996&gt;=Rules!$B$2,"idle &gt;= "&amp;Rules!$B$2&amp;" days",""))))</f>
        <v/>
      </c>
      <c r="J996" s="5">
        <f>IF(I996="","",IF(F996="Address issue",0,COUNTIF($I$2:$I$1001,"address issue"))+COUNTIFS($I$2:$I$1001,"?*",$F$2:$F$1001,IF(F996="Address issue","Address issue","&lt;&gt;Address issue"),$H$2:$H$1001,"&gt;"&amp;H996)+1)</f>
        <v/>
      </c>
    </row>
    <row r="997">
      <c r="A997" s="11" t="n">
        <v>100996</v>
      </c>
      <c r="B997" s="11" t="inlineStr">
        <is>
          <t>Канада</t>
        </is>
      </c>
      <c r="C997" s="11" t="inlineStr">
        <is>
          <t>PostLink</t>
        </is>
      </c>
      <c r="D997" s="11" t="inlineStr">
        <is>
          <t>PL39888920</t>
        </is>
      </c>
      <c r="E997" s="12" t="n">
        <v>46283</v>
      </c>
      <c r="F997" s="11" t="inlineStr">
        <is>
          <t>Delivered</t>
        </is>
      </c>
      <c r="G997" s="12" t="n">
        <v>46294</v>
      </c>
      <c r="H997" s="5">
        <f>IF(G997="","",Rules!$B$1-G997)</f>
        <v/>
      </c>
      <c r="I997" s="5">
        <f>IF(F997="Address issue","address issue",IF(OR(F997="Delivered",F997="Returned to sender",G997=""),"",IF(AND(Rules!$B$3&lt;&gt;"",F997="Held at customs",H997&gt;=Rules!$B$3),"customs &gt;= "&amp;Rules!$B$3&amp;" days",IF(H997&gt;=Rules!$B$2,"idle &gt;= "&amp;Rules!$B$2&amp;" days",""))))</f>
        <v/>
      </c>
      <c r="J997" s="5">
        <f>IF(I997="","",IF(F997="Address issue",0,COUNTIF($I$2:$I$1001,"address issue"))+COUNTIFS($I$2:$I$1001,"?*",$F$2:$F$1001,IF(F997="Address issue","Address issue","&lt;&gt;Address issue"),$H$2:$H$1001,"&gt;"&amp;H997)+1)</f>
        <v/>
      </c>
    </row>
    <row r="998">
      <c r="A998" s="11" t="n">
        <v>100997</v>
      </c>
      <c r="B998" s="11" t="inlineStr">
        <is>
          <t>Канада</t>
        </is>
      </c>
      <c r="C998" s="11" t="inlineStr">
        <is>
          <t>PostLink</t>
        </is>
      </c>
      <c r="D998" s="11" t="inlineStr">
        <is>
          <t>PL18660015</t>
        </is>
      </c>
      <c r="E998" s="12" t="n">
        <v>46292</v>
      </c>
      <c r="F998" s="11" t="inlineStr">
        <is>
          <t>Delivered</t>
        </is>
      </c>
      <c r="G998" s="12" t="n">
        <v>46296</v>
      </c>
      <c r="H998" s="5">
        <f>IF(G998="","",Rules!$B$1-G998)</f>
        <v/>
      </c>
      <c r="I998" s="5">
        <f>IF(F998="Address issue","address issue",IF(OR(F998="Delivered",F998="Returned to sender",G998=""),"",IF(AND(Rules!$B$3&lt;&gt;"",F998="Held at customs",H998&gt;=Rules!$B$3),"customs &gt;= "&amp;Rules!$B$3&amp;" days",IF(H998&gt;=Rules!$B$2,"idle &gt;= "&amp;Rules!$B$2&amp;" days",""))))</f>
        <v/>
      </c>
      <c r="J998" s="5">
        <f>IF(I998="","",IF(F998="Address issue",0,COUNTIF($I$2:$I$1001,"address issue"))+COUNTIFS($I$2:$I$1001,"?*",$F$2:$F$1001,IF(F998="Address issue","Address issue","&lt;&gt;Address issue"),$H$2:$H$1001,"&gt;"&amp;H998)+1)</f>
        <v/>
      </c>
    </row>
    <row r="999">
      <c r="A999" s="11" t="n">
        <v>100998</v>
      </c>
      <c r="B999" s="11" t="inlineStr">
        <is>
          <t>Канада</t>
        </is>
      </c>
      <c r="C999" s="11" t="inlineStr">
        <is>
          <t>PostLink</t>
        </is>
      </c>
      <c r="D999" s="11" t="inlineStr">
        <is>
          <t>PL50982392</t>
        </is>
      </c>
      <c r="E999" s="12" t="n">
        <v>46295</v>
      </c>
      <c r="F999" s="11" t="inlineStr">
        <is>
          <t>Delivered</t>
        </is>
      </c>
      <c r="G999" s="13" t="n">
        <v>46306</v>
      </c>
      <c r="H999" s="5">
        <f>IF(G999="","",Rules!$B$1-G999)</f>
        <v/>
      </c>
      <c r="I999" s="5">
        <f>IF(F999="Address issue","address issue",IF(OR(F999="Delivered",F999="Returned to sender",G999=""),"",IF(AND(Rules!$B$3&lt;&gt;"",F999="Held at customs",H999&gt;=Rules!$B$3),"customs &gt;= "&amp;Rules!$B$3&amp;" days",IF(H999&gt;=Rules!$B$2,"idle &gt;= "&amp;Rules!$B$2&amp;" days",""))))</f>
        <v/>
      </c>
      <c r="J999" s="5">
        <f>IF(I999="","",IF(F999="Address issue",0,COUNTIF($I$2:$I$1001,"address issue"))+COUNTIFS($I$2:$I$1001,"?*",$F$2:$F$1001,IF(F999="Address issue","Address issue","&lt;&gt;Address issue"),$H$2:$H$1001,"&gt;"&amp;H999)+1)</f>
        <v/>
      </c>
    </row>
    <row r="1000">
      <c r="A1000" s="11" t="n">
        <v>100999</v>
      </c>
      <c r="B1000" s="11" t="inlineStr">
        <is>
          <t>Бразилія</t>
        </is>
      </c>
      <c r="C1000" s="11" t="inlineStr">
        <is>
          <t>SwiftParcel</t>
        </is>
      </c>
      <c r="D1000" s="11" t="inlineStr">
        <is>
          <t>SP1879751</t>
        </is>
      </c>
      <c r="E1000" s="12" t="n">
        <v>46276</v>
      </c>
      <c r="F1000" s="11" t="inlineStr">
        <is>
          <t>Delivered</t>
        </is>
      </c>
      <c r="G1000" s="12" t="n">
        <v>46281</v>
      </c>
      <c r="H1000" s="5">
        <f>IF(G1000="","",Rules!$B$1-G1000)</f>
        <v/>
      </c>
      <c r="I1000" s="5">
        <f>IF(F1000="Address issue","address issue",IF(OR(F1000="Delivered",F1000="Returned to sender",G1000=""),"",IF(AND(Rules!$B$3&lt;&gt;"",F1000="Held at customs",H1000&gt;=Rules!$B$3),"customs &gt;= "&amp;Rules!$B$3&amp;" days",IF(H1000&gt;=Rules!$B$2,"idle &gt;= "&amp;Rules!$B$2&amp;" days",""))))</f>
        <v/>
      </c>
      <c r="J1000" s="5">
        <f>IF(I1000="","",IF(F1000="Address issue",0,COUNTIF($I$2:$I$1001,"address issue"))+COUNTIFS($I$2:$I$1001,"?*",$F$2:$F$1001,IF(F1000="Address issue","Address issue","&lt;&gt;Address issue"),$H$2:$H$1001,"&gt;"&amp;H1000)+1)</f>
        <v/>
      </c>
    </row>
    <row r="1001">
      <c r="A1001" s="11" t="n">
        <v>101000</v>
      </c>
      <c r="B1001" s="11" t="inlineStr">
        <is>
          <t>Мексика</t>
        </is>
      </c>
      <c r="C1001" s="11" t="inlineStr">
        <is>
          <t>AndesCargo</t>
        </is>
      </c>
      <c r="D1001" s="11" t="inlineStr">
        <is>
          <t>AC74450910</t>
        </is>
      </c>
      <c r="E1001" s="12" t="n">
        <v>46285</v>
      </c>
      <c r="F1001" s="11" t="inlineStr">
        <is>
          <t>Delivered</t>
        </is>
      </c>
      <c r="G1001" s="12" t="n">
        <v>46291</v>
      </c>
      <c r="H1001" s="5">
        <f>IF(G1001="","",Rules!$B$1-G1001)</f>
        <v/>
      </c>
      <c r="I1001" s="5">
        <f>IF(F1001="Address issue","address issue",IF(OR(F1001="Delivered",F1001="Returned to sender",G1001=""),"",IF(AND(Rules!$B$3&lt;&gt;"",F1001="Held at customs",H1001&gt;=Rules!$B$3),"customs &gt;= "&amp;Rules!$B$3&amp;" days",IF(H1001&gt;=Rules!$B$2,"idle &gt;= "&amp;Rules!$B$2&amp;" days",""))))</f>
        <v/>
      </c>
      <c r="J1001" s="5">
        <f>IF(I1001="","",IF(F1001="Address issue",0,COUNTIF($I$2:$I$1001,"address issue"))+COUNTIFS($I$2:$I$1001,"?*",$F$2:$F$1001,IF(F1001="Address issue","Address issue","&lt;&gt;Address issue"),$H$2:$H$1001,"&gt;"&amp;H1001)+1)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2026-10-09T17:02:41Z</dcterms:created>
  <dcterms:modified xmlns:dcterms="http://purl.org/dc/terms/" xmlns:xsi="http://www.w3.org/2001/XMLSchema-instance" xsi:type="dcterms:W3CDTF">2026-10-09T17:02:41Z</dcterms:modified>
</cp:coreProperties>
</file>